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attupally.P\Desktop\SAP_Docs\MPBC\"/>
    </mc:Choice>
  </mc:AlternateContent>
  <xr:revisionPtr revIDLastSave="0" documentId="8_{4BC9F129-A6DC-4210-B396-044EE53B8904}" xr6:coauthVersionLast="47" xr6:coauthVersionMax="47" xr10:uidLastSave="{00000000-0000-0000-0000-000000000000}"/>
  <bookViews>
    <workbookView xWindow="-110" yWindow="-110" windowWidth="19420" windowHeight="10300" tabRatio="813" firstSheet="1" activeTab="1" xr2:uid="{00000000-000D-0000-FFFF-FFFF00000000}"/>
  </bookViews>
  <sheets>
    <sheet name="calc" sheetId="10" state="hidden" r:id="rId1"/>
    <sheet name="1. MPBC" sheetId="2" r:id="rId2"/>
    <sheet name="3. BER - Bid exception report" sheetId="17" state="hidden" r:id="rId3"/>
    <sheet name="5. WCI calculation" sheetId="14" state="hidden" r:id="rId4"/>
    <sheet name="6. exchange_rates" sheetId="9" state="hidden" r:id="rId5"/>
    <sheet name="Supp 1 risk" sheetId="11" state="hidden" r:id="rId6"/>
    <sheet name="Supp 2 risk" sheetId="12" state="hidden" r:id="rId7"/>
    <sheet name="Supp 3 risk" sheetId="21" state="hidden" r:id="rId8"/>
    <sheet name="Supp 4 risk" sheetId="22" state="hidden" r:id="rId9"/>
    <sheet name="Supp 5 risk" sheetId="23" state="hidden" r:id="rId10"/>
    <sheet name="Supp 6 risk" sheetId="24" state="hidden" r:id="rId11"/>
    <sheet name="Supp 7 risk" sheetId="18" state="hidden" r:id="rId12"/>
    <sheet name="Supp 8 risk" sheetId="19" state="hidden" r:id="rId13"/>
    <sheet name="Supp 9 risk" sheetId="20" state="hidden" r:id="rId14"/>
    <sheet name="Supp 10 risk" sheetId="13" state="hidden" r:id="rId15"/>
    <sheet name="country_class" sheetId="4" state="hidden" r:id="rId16"/>
    <sheet name="WACC" sheetId="7" state="hidden" r:id="rId17"/>
  </sheets>
  <externalReferences>
    <externalReference r:id="rId18"/>
  </externalReferences>
  <definedNames>
    <definedName name="_xlnm._FilterDatabase" localSheetId="15" hidden="1">country_class!$B$2:$D$2</definedName>
    <definedName name="Datenliste">#REF!</definedName>
    <definedName name="eurrate" localSheetId="5">'[1]CAPEX Comparison Sheet'!#REF!</definedName>
    <definedName name="eurrate" localSheetId="14">'[1]CAPEX Comparison Sheet'!#REF!</definedName>
    <definedName name="eurrate" localSheetId="6">'[1]CAPEX Comparison Sheet'!#REF!</definedName>
    <definedName name="eurrate" localSheetId="7">'[1]CAPEX Comparison Sheet'!#REF!</definedName>
    <definedName name="eurrate" localSheetId="8">'[1]CAPEX Comparison Sheet'!#REF!</definedName>
    <definedName name="eurrate" localSheetId="9">'[1]CAPEX Comparison Sheet'!#REF!</definedName>
    <definedName name="eurrate" localSheetId="10">'[1]CAPEX Comparison Sheet'!#REF!</definedName>
    <definedName name="eurrate" localSheetId="11">'[1]CAPEX Comparison Sheet'!#REF!</definedName>
    <definedName name="eurrate" localSheetId="12">'[1]CAPEX Comparison Sheet'!#REF!</definedName>
    <definedName name="eurrate" localSheetId="13">'[1]CAPEX Comparison Sheet'!#REF!</definedName>
    <definedName name="eurrate">#REF!</definedName>
    <definedName name="_xlnm.Print_Area" localSheetId="1">'1. MPBC'!$A$1:$S$75</definedName>
    <definedName name="_xlnm.Print_Area" localSheetId="2">'3. BER - Bid exception report'!$A$1:$J$55</definedName>
    <definedName name="_xlnm.Print_Area" localSheetId="3">'5. WCI calculation'!$A$1:$H$30</definedName>
    <definedName name="usdrate" localSheetId="5">'[1]CAPEX Comparison Sheet'!#REF!</definedName>
    <definedName name="usdrate" localSheetId="14">'[1]CAPEX Comparison Sheet'!#REF!</definedName>
    <definedName name="usdrate" localSheetId="6">'[1]CAPEX Comparison Sheet'!#REF!</definedName>
    <definedName name="usdrate" localSheetId="7">'[1]CAPEX Comparison Sheet'!#REF!</definedName>
    <definedName name="usdrate" localSheetId="8">'[1]CAPEX Comparison Sheet'!#REF!</definedName>
    <definedName name="usdrate" localSheetId="9">'[1]CAPEX Comparison Sheet'!#REF!</definedName>
    <definedName name="usdrate" localSheetId="10">'[1]CAPEX Comparison Sheet'!#REF!</definedName>
    <definedName name="usdrate" localSheetId="11">'[1]CAPEX Comparison Sheet'!#REF!</definedName>
    <definedName name="usdrate" localSheetId="12">'[1]CAPEX Comparison Sheet'!#REF!</definedName>
    <definedName name="usdrate" localSheetId="13">'[1]CAPEX Comparison Sheet'!#REF!</definedName>
    <definedName name="usdrat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0" i="2" l="1"/>
  <c r="U19" i="2"/>
  <c r="M5" i="2"/>
  <c r="M7" i="2"/>
  <c r="G49" i="2"/>
  <c r="I69" i="2"/>
  <c r="I68" i="2"/>
  <c r="I67" i="2"/>
  <c r="I66" i="2"/>
  <c r="G67" i="2"/>
  <c r="G69" i="2"/>
  <c r="G68" i="2"/>
  <c r="I65" i="2"/>
  <c r="I64" i="2"/>
  <c r="Q9" i="2"/>
  <c r="Q8" i="2"/>
  <c r="Q7" i="2"/>
  <c r="Q6" i="2"/>
  <c r="Q5" i="2"/>
  <c r="Q4" i="2"/>
  <c r="M9" i="2"/>
  <c r="I6" i="2"/>
  <c r="U28" i="2"/>
  <c r="AW28" i="2"/>
  <c r="AS28" i="2"/>
  <c r="AO28" i="2"/>
  <c r="AK28" i="2"/>
  <c r="AG28" i="2"/>
  <c r="AC28" i="2"/>
  <c r="Y28" i="2"/>
  <c r="Q28" i="2"/>
  <c r="M28" i="2"/>
  <c r="I28" i="2"/>
  <c r="AW20" i="2"/>
  <c r="AW19" i="2"/>
  <c r="AS20" i="2"/>
  <c r="AS19" i="2"/>
  <c r="AO20" i="2"/>
  <c r="AO19" i="2"/>
  <c r="AK20" i="2"/>
  <c r="AK19" i="2"/>
  <c r="AG20" i="2"/>
  <c r="AG19" i="2"/>
  <c r="AC20" i="2"/>
  <c r="AC19" i="2"/>
  <c r="Y20" i="2"/>
  <c r="Y19" i="2"/>
  <c r="Q20" i="2"/>
  <c r="Q19" i="2"/>
  <c r="M20" i="2"/>
  <c r="M19" i="2"/>
  <c r="I20" i="2"/>
  <c r="I19" i="2"/>
  <c r="T39" i="2"/>
  <c r="T40" i="2" s="1" a="1"/>
  <c r="T40" i="2" s="1"/>
  <c r="G39" i="2"/>
  <c r="G40" i="2" s="1" a="1"/>
  <c r="G40" i="2" s="1"/>
  <c r="E30" i="9"/>
  <c r="E29" i="9"/>
  <c r="E28" i="9"/>
  <c r="E27" i="9"/>
  <c r="G3" i="14"/>
  <c r="C22" i="14"/>
  <c r="C5" i="14"/>
  <c r="E26" i="9"/>
  <c r="E25" i="9"/>
  <c r="E24" i="9"/>
  <c r="E7" i="9"/>
  <c r="E6" i="9"/>
  <c r="E5" i="9"/>
  <c r="E4" i="9"/>
  <c r="E3" i="9"/>
  <c r="D6" i="13"/>
  <c r="D6" i="20"/>
  <c r="D6" i="19"/>
  <c r="D6" i="18"/>
  <c r="D6" i="24"/>
  <c r="D6" i="23"/>
  <c r="D6" i="22"/>
  <c r="D6" i="21"/>
  <c r="D6" i="12"/>
  <c r="B48" i="2"/>
  <c r="C21" i="14" l="1"/>
  <c r="B40" i="2"/>
  <c r="E8" i="9" l="1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K6" i="2"/>
  <c r="C14" i="10"/>
  <c r="F41" i="2"/>
  <c r="U31" i="2"/>
  <c r="U32" i="2"/>
  <c r="U33" i="2"/>
  <c r="U34" i="2"/>
  <c r="U35" i="2"/>
  <c r="U36" i="2"/>
  <c r="U37" i="2"/>
  <c r="U30" i="2"/>
  <c r="AX37" i="2"/>
  <c r="AX36" i="2"/>
  <c r="AX35" i="2"/>
  <c r="AX34" i="2"/>
  <c r="AX33" i="2"/>
  <c r="AX32" i="2"/>
  <c r="AX31" i="2"/>
  <c r="AX30" i="2"/>
  <c r="AT37" i="2"/>
  <c r="AT36" i="2"/>
  <c r="AT35" i="2"/>
  <c r="AT34" i="2"/>
  <c r="AT33" i="2"/>
  <c r="AT32" i="2"/>
  <c r="AT31" i="2"/>
  <c r="AT30" i="2"/>
  <c r="AP37" i="2"/>
  <c r="AP36" i="2"/>
  <c r="AP35" i="2"/>
  <c r="AP34" i="2"/>
  <c r="AP33" i="2"/>
  <c r="AP32" i="2"/>
  <c r="AP31" i="2"/>
  <c r="AP30" i="2"/>
  <c r="AL37" i="2"/>
  <c r="AL36" i="2"/>
  <c r="AL35" i="2"/>
  <c r="AL34" i="2"/>
  <c r="AL33" i="2"/>
  <c r="AL32" i="2"/>
  <c r="AL31" i="2"/>
  <c r="AL30" i="2"/>
  <c r="AH37" i="2"/>
  <c r="AH36" i="2"/>
  <c r="AH35" i="2"/>
  <c r="AH34" i="2"/>
  <c r="AH33" i="2"/>
  <c r="AH32" i="2"/>
  <c r="AH31" i="2"/>
  <c r="AH30" i="2"/>
  <c r="AD37" i="2"/>
  <c r="AD36" i="2"/>
  <c r="AD35" i="2"/>
  <c r="AD34" i="2"/>
  <c r="AD33" i="2"/>
  <c r="AD32" i="2"/>
  <c r="AD31" i="2"/>
  <c r="AD30" i="2"/>
  <c r="Z37" i="2"/>
  <c r="Z36" i="2"/>
  <c r="Z35" i="2"/>
  <c r="Z34" i="2"/>
  <c r="Z33" i="2"/>
  <c r="Z32" i="2"/>
  <c r="Z31" i="2"/>
  <c r="Z30" i="2"/>
  <c r="R37" i="2"/>
  <c r="R36" i="2"/>
  <c r="R35" i="2"/>
  <c r="R34" i="2"/>
  <c r="R33" i="2"/>
  <c r="R32" i="2"/>
  <c r="R31" i="2"/>
  <c r="R30" i="2"/>
  <c r="N31" i="2"/>
  <c r="N32" i="2"/>
  <c r="N33" i="2"/>
  <c r="N34" i="2"/>
  <c r="N35" i="2"/>
  <c r="N36" i="2"/>
  <c r="N37" i="2"/>
  <c r="N30" i="2"/>
  <c r="J31" i="2"/>
  <c r="J32" i="2"/>
  <c r="J33" i="2"/>
  <c r="J34" i="2"/>
  <c r="J35" i="2"/>
  <c r="J36" i="2"/>
  <c r="J37" i="2"/>
  <c r="J30" i="2"/>
  <c r="F5" i="10" l="1"/>
  <c r="F6" i="10"/>
  <c r="F7" i="10"/>
  <c r="F8" i="10"/>
  <c r="F9" i="10"/>
  <c r="F10" i="10"/>
  <c r="F11" i="10"/>
  <c r="F12" i="10"/>
  <c r="C12" i="10"/>
  <c r="C11" i="10"/>
  <c r="C10" i="10"/>
  <c r="C9" i="10"/>
  <c r="C8" i="10"/>
  <c r="C7" i="10"/>
  <c r="C6" i="10"/>
  <c r="C5" i="10"/>
  <c r="B12" i="10"/>
  <c r="B11" i="10"/>
  <c r="B10" i="10"/>
  <c r="B9" i="10"/>
  <c r="B8" i="10"/>
  <c r="B7" i="10"/>
  <c r="B6" i="10"/>
  <c r="B5" i="10"/>
  <c r="B4" i="10"/>
  <c r="AQ27" i="2"/>
  <c r="AE27" i="2"/>
  <c r="AA27" i="2"/>
  <c r="W27" i="2"/>
  <c r="AM27" i="2"/>
  <c r="AI27" i="2"/>
  <c r="E47" i="2"/>
  <c r="AW38" i="2" a="1"/>
  <c r="AW38" i="2" s="1"/>
  <c r="AV38" i="2" a="1"/>
  <c r="AV38" i="2" s="1"/>
  <c r="AU38" i="2" a="1"/>
  <c r="AU38" i="2" s="1"/>
  <c r="AS38" i="2" a="1"/>
  <c r="AS38" i="2" s="1"/>
  <c r="AR38" i="2" a="1"/>
  <c r="AR38" i="2" s="1"/>
  <c r="AQ38" i="2" a="1"/>
  <c r="AQ38" i="2" s="1"/>
  <c r="AO38" i="2" a="1"/>
  <c r="AO38" i="2" s="1"/>
  <c r="AN38" i="2" a="1"/>
  <c r="AN38" i="2" s="1"/>
  <c r="AM38" i="2" a="1"/>
  <c r="AM38" i="2" s="1"/>
  <c r="AK38" i="2" a="1"/>
  <c r="AK38" i="2" s="1"/>
  <c r="AJ38" i="2" a="1"/>
  <c r="AJ38" i="2" s="1"/>
  <c r="AI38" i="2" a="1"/>
  <c r="AI38" i="2" s="1"/>
  <c r="AG38" i="2" a="1"/>
  <c r="AG38" i="2" s="1"/>
  <c r="AF38" i="2" a="1"/>
  <c r="AF38" i="2" s="1"/>
  <c r="AE38" i="2" a="1"/>
  <c r="AE38" i="2" s="1"/>
  <c r="AC38" i="2" a="1"/>
  <c r="AC38" i="2" s="1"/>
  <c r="AB38" i="2" a="1"/>
  <c r="AB38" i="2" s="1"/>
  <c r="AA38" i="2" a="1"/>
  <c r="AA38" i="2" s="1"/>
  <c r="Y38" i="2" a="1"/>
  <c r="Y38" i="2" s="1"/>
  <c r="X38" i="2" a="1"/>
  <c r="X38" i="2" s="1"/>
  <c r="W38" i="2" a="1"/>
  <c r="W38" i="2" s="1"/>
  <c r="Q38" i="2" a="1"/>
  <c r="Q38" i="2" s="1"/>
  <c r="P38" i="2" a="1"/>
  <c r="P38" i="2" s="1"/>
  <c r="O38" i="2" a="1"/>
  <c r="O38" i="2" s="1"/>
  <c r="S5" i="10" s="1"/>
  <c r="M38" i="2" a="1"/>
  <c r="M38" i="2" s="1"/>
  <c r="L38" i="2" a="1"/>
  <c r="L38" i="2" s="1"/>
  <c r="K38" i="2" a="1"/>
  <c r="K38" i="2" s="1"/>
  <c r="S4" i="10" s="1"/>
  <c r="I38" i="2" a="1"/>
  <c r="I38" i="2" s="1"/>
  <c r="G38" i="2" a="1"/>
  <c r="G38" i="2" s="1"/>
  <c r="S3" i="10" s="1"/>
  <c r="E9" i="10"/>
  <c r="E8" i="10"/>
  <c r="E11" i="10"/>
  <c r="E10" i="10"/>
  <c r="E7" i="10"/>
  <c r="E5" i="10"/>
  <c r="E6" i="10"/>
  <c r="AQ39" i="2" l="1"/>
  <c r="H11" i="10" s="1"/>
  <c r="S11" i="10"/>
  <c r="U7" i="10"/>
  <c r="AC39" i="2"/>
  <c r="AC40" i="2" s="1" a="1"/>
  <c r="AC40" i="2" s="1"/>
  <c r="U12" i="10"/>
  <c r="AW39" i="2"/>
  <c r="AW40" i="2" s="1" a="1"/>
  <c r="AW40" i="2" s="1"/>
  <c r="T9" i="10"/>
  <c r="AJ39" i="2"/>
  <c r="AJ40" i="2" s="1" a="1"/>
  <c r="AJ40" i="2" s="1"/>
  <c r="W9" i="10" s="1"/>
  <c r="U9" i="10"/>
  <c r="AK39" i="2"/>
  <c r="AK40" i="2" s="1" a="1"/>
  <c r="AK40" i="2" s="1"/>
  <c r="AA39" i="2"/>
  <c r="H7" i="10" s="1"/>
  <c r="S7" i="10"/>
  <c r="AU39" i="2"/>
  <c r="H12" i="10" s="1"/>
  <c r="S12" i="10"/>
  <c r="T5" i="10"/>
  <c r="P39" i="2"/>
  <c r="P40" i="2" s="1" a="1"/>
  <c r="P40" i="2" s="1"/>
  <c r="W5" i="10" s="1"/>
  <c r="AM39" i="2"/>
  <c r="H10" i="10" s="1"/>
  <c r="S10" i="10"/>
  <c r="T6" i="10"/>
  <c r="X39" i="2"/>
  <c r="X40" i="2" s="1" a="1"/>
  <c r="X40" i="2" s="1"/>
  <c r="W6" i="10" s="1"/>
  <c r="U6" i="10"/>
  <c r="Y39" i="2"/>
  <c r="Y40" i="2" s="1" a="1"/>
  <c r="Y40" i="2" s="1"/>
  <c r="T7" i="10"/>
  <c r="AB39" i="2"/>
  <c r="AB40" i="2" s="1" a="1"/>
  <c r="AB40" i="2" s="1"/>
  <c r="W7" i="10" s="1"/>
  <c r="T12" i="10"/>
  <c r="AV39" i="2"/>
  <c r="AV40" i="2" s="1" a="1"/>
  <c r="AV40" i="2" s="1"/>
  <c r="W12" i="10" s="1"/>
  <c r="AE39" i="2"/>
  <c r="H8" i="10" s="1"/>
  <c r="S8" i="10"/>
  <c r="T8" i="10"/>
  <c r="AF39" i="2"/>
  <c r="AF40" i="2" s="1" a="1"/>
  <c r="AF40" i="2" s="1"/>
  <c r="W8" i="10" s="1"/>
  <c r="AI39" i="2"/>
  <c r="H9" i="10" s="1"/>
  <c r="S9" i="10"/>
  <c r="U5" i="10"/>
  <c r="D5" i="10" s="1"/>
  <c r="Q39" i="2"/>
  <c r="T10" i="10"/>
  <c r="AN39" i="2"/>
  <c r="AN40" i="2" s="1" a="1"/>
  <c r="AN40" i="2" s="1"/>
  <c r="W10" i="10" s="1"/>
  <c r="T11" i="10"/>
  <c r="AR39" i="2"/>
  <c r="AR40" i="2" s="1" a="1"/>
  <c r="AR40" i="2" s="1"/>
  <c r="W11" i="10" s="1"/>
  <c r="U11" i="10"/>
  <c r="AS39" i="2"/>
  <c r="AS40" i="2" s="1" a="1"/>
  <c r="AS40" i="2" s="1"/>
  <c r="U8" i="10"/>
  <c r="AG39" i="2"/>
  <c r="AG40" i="2" s="1" a="1"/>
  <c r="AG40" i="2" s="1"/>
  <c r="T4" i="10"/>
  <c r="L39" i="2"/>
  <c r="L40" i="2" s="1" a="1"/>
  <c r="L40" i="2" s="1"/>
  <c r="W4" i="10" s="1"/>
  <c r="W39" i="2"/>
  <c r="H6" i="10" s="1"/>
  <c r="S6" i="10"/>
  <c r="U10" i="10"/>
  <c r="AO39" i="2"/>
  <c r="AO40" i="2" s="1" a="1"/>
  <c r="AO40" i="2" s="1"/>
  <c r="O27" i="2"/>
  <c r="U4" i="10"/>
  <c r="D4" i="10" s="1"/>
  <c r="M39" i="2"/>
  <c r="M40" i="2" s="1" a="1"/>
  <c r="M40" i="2" s="1"/>
  <c r="I39" i="2"/>
  <c r="I40" i="2" s="1" a="1"/>
  <c r="I40" i="2" s="1"/>
  <c r="U3" i="10"/>
  <c r="O39" i="2"/>
  <c r="H5" i="10" s="1"/>
  <c r="E49" i="2"/>
  <c r="B49" i="2"/>
  <c r="W40" i="2" l="1" a="1"/>
  <c r="W40" i="2" s="1"/>
  <c r="V6" i="10" s="1"/>
  <c r="X42" i="2"/>
  <c r="I9" i="10"/>
  <c r="L9" i="10" s="1"/>
  <c r="O9" i="10" s="1"/>
  <c r="AJ42" i="2"/>
  <c r="AQ40" i="2" a="1"/>
  <c r="AQ40" i="2" s="1"/>
  <c r="V11" i="10" s="1"/>
  <c r="AI40" i="2" a="1"/>
  <c r="AI40" i="2" s="1"/>
  <c r="V9" i="10" s="1"/>
  <c r="AM40" i="2" a="1"/>
  <c r="AM40" i="2" s="1"/>
  <c r="V10" i="10" s="1"/>
  <c r="AN42" i="2"/>
  <c r="I6" i="10"/>
  <c r="L6" i="10" s="1"/>
  <c r="O6" i="10" s="1"/>
  <c r="AJ41" i="2"/>
  <c r="I8" i="10"/>
  <c r="L8" i="10" s="1"/>
  <c r="O8" i="10" s="1"/>
  <c r="D11" i="10"/>
  <c r="AR42" i="2"/>
  <c r="I10" i="10"/>
  <c r="L10" i="10" s="1"/>
  <c r="O10" i="10" s="1"/>
  <c r="D9" i="10"/>
  <c r="AV41" i="2"/>
  <c r="I12" i="10"/>
  <c r="L12" i="10" s="1"/>
  <c r="O12" i="10" s="1"/>
  <c r="AB42" i="2"/>
  <c r="AV42" i="2"/>
  <c r="AU40" i="2" a="1"/>
  <c r="AU40" i="2" s="1"/>
  <c r="V12" i="10" s="1"/>
  <c r="AF42" i="2"/>
  <c r="AE40" i="2" a="1"/>
  <c r="AE40" i="2" s="1"/>
  <c r="V8" i="10" s="1"/>
  <c r="D6" i="10"/>
  <c r="AR41" i="2"/>
  <c r="D10" i="10"/>
  <c r="AN41" i="2"/>
  <c r="J5" i="10"/>
  <c r="Q40" i="2" a="1"/>
  <c r="Q40" i="2" s="1"/>
  <c r="G5" i="10" s="1"/>
  <c r="AB41" i="2"/>
  <c r="D12" i="10"/>
  <c r="I11" i="10"/>
  <c r="L11" i="10" s="1"/>
  <c r="O11" i="10" s="1"/>
  <c r="I7" i="10"/>
  <c r="L7" i="10" s="1"/>
  <c r="O7" i="10" s="1"/>
  <c r="D7" i="10"/>
  <c r="AA40" i="2" a="1"/>
  <c r="AA40" i="2" s="1"/>
  <c r="V7" i="10" s="1"/>
  <c r="X41" i="2"/>
  <c r="AF41" i="2"/>
  <c r="D8" i="10"/>
  <c r="AU42" i="2"/>
  <c r="AO42" i="2"/>
  <c r="AQ42" i="2"/>
  <c r="AG42" i="2"/>
  <c r="Y42" i="2"/>
  <c r="AK42" i="2"/>
  <c r="AA42" i="2"/>
  <c r="AE42" i="2"/>
  <c r="W41" i="2"/>
  <c r="AA41" i="2"/>
  <c r="AE41" i="2"/>
  <c r="AM42" i="2"/>
  <c r="AS41" i="2"/>
  <c r="AK41" i="2"/>
  <c r="AC41" i="2"/>
  <c r="O41" i="2"/>
  <c r="P41" i="2"/>
  <c r="AQ41" i="2"/>
  <c r="AI41" i="2"/>
  <c r="AW41" i="2"/>
  <c r="Q41" i="2"/>
  <c r="AO41" i="2"/>
  <c r="AG41" i="2"/>
  <c r="Y41" i="2"/>
  <c r="AU41" i="2"/>
  <c r="AC42" i="2"/>
  <c r="AM41" i="2"/>
  <c r="O40" i="2" a="1"/>
  <c r="O40" i="2" s="1"/>
  <c r="V5" i="10" s="1"/>
  <c r="O42" i="2"/>
  <c r="P42" i="2"/>
  <c r="AS42" i="2"/>
  <c r="AI42" i="2"/>
  <c r="I5" i="10"/>
  <c r="Q42" i="2"/>
  <c r="AW42" i="2"/>
  <c r="W42" i="2"/>
  <c r="G7" i="10"/>
  <c r="G10" i="10"/>
  <c r="J7" i="10"/>
  <c r="J10" i="10"/>
  <c r="J11" i="10"/>
  <c r="J9" i="10"/>
  <c r="J8" i="10"/>
  <c r="J6" i="10"/>
  <c r="T38" i="2"/>
  <c r="X5" i="10" l="1"/>
  <c r="Y5" i="10"/>
  <c r="X10" i="10"/>
  <c r="X7" i="10"/>
  <c r="K5" i="10"/>
  <c r="N5" i="10" s="1"/>
  <c r="Q5" i="10"/>
  <c r="R5" i="10" s="1"/>
  <c r="K8" i="10"/>
  <c r="N8" i="10" s="1"/>
  <c r="M8" i="10"/>
  <c r="P8" i="10" s="1"/>
  <c r="Y8" i="10"/>
  <c r="K9" i="10"/>
  <c r="N9" i="10" s="1"/>
  <c r="M9" i="10"/>
  <c r="P9" i="10" s="1"/>
  <c r="Y9" i="10"/>
  <c r="Y11" i="10"/>
  <c r="K11" i="10"/>
  <c r="N11" i="10" s="1"/>
  <c r="M11" i="10"/>
  <c r="P11" i="10" s="1"/>
  <c r="L5" i="10"/>
  <c r="O5" i="10" s="1"/>
  <c r="M5" i="10"/>
  <c r="P5" i="10" s="1"/>
  <c r="Y10" i="10"/>
  <c r="K10" i="10"/>
  <c r="N10" i="10" s="1"/>
  <c r="M10" i="10"/>
  <c r="P10" i="10" s="1"/>
  <c r="K7" i="10"/>
  <c r="N7" i="10" s="1"/>
  <c r="M7" i="10"/>
  <c r="P7" i="10" s="1"/>
  <c r="Y7" i="10"/>
  <c r="K6" i="10"/>
  <c r="N6" i="10" s="1"/>
  <c r="M6" i="10"/>
  <c r="P6" i="10" s="1"/>
  <c r="Y6" i="10"/>
  <c r="Q11" i="10"/>
  <c r="R11" i="10" s="1"/>
  <c r="Q10" i="10"/>
  <c r="R10" i="10" s="1"/>
  <c r="Q9" i="10"/>
  <c r="R9" i="10" s="1"/>
  <c r="Q8" i="10"/>
  <c r="R8" i="10" s="1"/>
  <c r="Q7" i="10"/>
  <c r="R7" i="10" s="1"/>
  <c r="Q6" i="10"/>
  <c r="R6" i="10" s="1"/>
  <c r="G6" i="10"/>
  <c r="X6" i="10" s="1"/>
  <c r="G11" i="10"/>
  <c r="X11" i="10" s="1"/>
  <c r="G8" i="10"/>
  <c r="X8" i="10" s="1"/>
  <c r="G9" i="10"/>
  <c r="X9" i="10" s="1"/>
  <c r="G65" i="2"/>
  <c r="B65" i="2"/>
  <c r="C23" i="14"/>
  <c r="R49" i="2" l="1"/>
  <c r="R48" i="2"/>
  <c r="R47" i="2"/>
  <c r="AT47" i="2"/>
  <c r="AT49" i="2"/>
  <c r="AT48" i="2"/>
  <c r="AD47" i="2"/>
  <c r="AD49" i="2"/>
  <c r="AD48" i="2"/>
  <c r="AL47" i="2"/>
  <c r="AL48" i="2"/>
  <c r="AL49" i="2"/>
  <c r="Z49" i="2"/>
  <c r="Z48" i="2"/>
  <c r="Z47" i="2"/>
  <c r="AH49" i="2"/>
  <c r="AH48" i="2"/>
  <c r="AH47" i="2"/>
  <c r="AP49" i="2"/>
  <c r="AP48" i="2"/>
  <c r="AP47" i="2"/>
  <c r="U48" i="2"/>
  <c r="U47" i="2"/>
  <c r="U49" i="2"/>
  <c r="B39" i="2"/>
  <c r="K39" i="2" l="1"/>
  <c r="H4" i="10" s="1"/>
  <c r="F4" i="10"/>
  <c r="F3" i="10"/>
  <c r="F19" i="14"/>
  <c r="K19" i="14" s="1"/>
  <c r="D19" i="14"/>
  <c r="I19" i="14" s="1"/>
  <c r="K17" i="14"/>
  <c r="M17" i="14" s="1"/>
  <c r="J17" i="14"/>
  <c r="L17" i="14" s="1"/>
  <c r="I17" i="14"/>
  <c r="K16" i="14"/>
  <c r="M16" i="14" s="1"/>
  <c r="J16" i="14"/>
  <c r="L16" i="14" s="1"/>
  <c r="I16" i="14"/>
  <c r="K15" i="14"/>
  <c r="M15" i="14" s="1"/>
  <c r="J15" i="14"/>
  <c r="L15" i="14" s="1"/>
  <c r="I15" i="14"/>
  <c r="K14" i="14"/>
  <c r="M14" i="14" s="1"/>
  <c r="J14" i="14"/>
  <c r="L14" i="14" s="1"/>
  <c r="I14" i="14"/>
  <c r="J13" i="14"/>
  <c r="L13" i="14" s="1"/>
  <c r="I13" i="14"/>
  <c r="K13" i="14" s="1"/>
  <c r="M13" i="14" s="1"/>
  <c r="I12" i="14"/>
  <c r="J12" i="14" s="1"/>
  <c r="L12" i="14" s="1"/>
  <c r="I11" i="14"/>
  <c r="K11" i="14" s="1"/>
  <c r="M11" i="14" s="1"/>
  <c r="I10" i="14"/>
  <c r="J10" i="14" s="1"/>
  <c r="L10" i="14" s="1"/>
  <c r="M9" i="14"/>
  <c r="K9" i="14"/>
  <c r="I9" i="14"/>
  <c r="J9" i="14" s="1"/>
  <c r="L9" i="14" s="1"/>
  <c r="L41" i="2" l="1"/>
  <c r="K41" i="2"/>
  <c r="M41" i="2"/>
  <c r="L42" i="2"/>
  <c r="K42" i="2"/>
  <c r="M42" i="2"/>
  <c r="K40" i="2" a="1"/>
  <c r="K40" i="2" s="1"/>
  <c r="V4" i="10" s="1"/>
  <c r="I4" i="10"/>
  <c r="J11" i="14"/>
  <c r="L11" i="14" s="1"/>
  <c r="L19" i="14" s="1"/>
  <c r="J19" i="14"/>
  <c r="K12" i="14"/>
  <c r="M12" i="14" s="1"/>
  <c r="K10" i="14"/>
  <c r="M10" i="14" s="1"/>
  <c r="L4" i="10" l="1"/>
  <c r="O4" i="10" s="1"/>
  <c r="M19" i="14"/>
  <c r="N19" i="14" s="1"/>
  <c r="D6" i="11" l="1"/>
  <c r="AU27" i="2" l="1"/>
  <c r="K27" i="2"/>
  <c r="G27" i="2"/>
  <c r="C4" i="10"/>
  <c r="C3" i="10"/>
  <c r="B3" i="10"/>
  <c r="H3" i="10"/>
  <c r="E12" i="10"/>
  <c r="E4" i="10"/>
  <c r="E3" i="10"/>
  <c r="V3" i="10" l="1"/>
  <c r="J12" i="10"/>
  <c r="J4" i="10"/>
  <c r="Y4" i="10" s="1"/>
  <c r="C2" i="14"/>
  <c r="J3" i="10"/>
  <c r="K3" i="10" s="1"/>
  <c r="N48" i="2" l="1"/>
  <c r="N47" i="2"/>
  <c r="N49" i="2"/>
  <c r="M12" i="10"/>
  <c r="P12" i="10" s="1"/>
  <c r="Y12" i="10"/>
  <c r="K12" i="10"/>
  <c r="N12" i="10" s="1"/>
  <c r="M4" i="10"/>
  <c r="P4" i="10" s="1"/>
  <c r="K4" i="10"/>
  <c r="N4" i="10" s="1"/>
  <c r="Q12" i="10"/>
  <c r="R12" i="10" s="1"/>
  <c r="Q4" i="10"/>
  <c r="R4" i="10" s="1"/>
  <c r="G42" i="2"/>
  <c r="G41" i="2"/>
  <c r="G12" i="10"/>
  <c r="X12" i="10" s="1"/>
  <c r="G4" i="10"/>
  <c r="X4" i="10" s="1"/>
  <c r="AX49" i="2" l="1"/>
  <c r="AX48" i="2"/>
  <c r="AX47" i="2"/>
  <c r="Q3" i="10"/>
  <c r="N3" i="10"/>
  <c r="G3" i="10"/>
  <c r="R3" i="10" l="1"/>
  <c r="H38" i="2" l="1" a="1"/>
  <c r="H38" i="2" s="1"/>
  <c r="H39" i="2" l="1"/>
  <c r="H40" i="2" s="1" a="1"/>
  <c r="H40" i="2" s="1"/>
  <c r="W3" i="10" s="1"/>
  <c r="X3" i="10" s="1"/>
  <c r="T3" i="10"/>
  <c r="D3" i="10" s="1"/>
  <c r="I3" i="10" l="1"/>
  <c r="I42" i="2"/>
  <c r="H41" i="2"/>
  <c r="H42" i="2"/>
  <c r="I41" i="2"/>
  <c r="C3" i="14"/>
  <c r="M3" i="10" l="1"/>
  <c r="P3" i="10" s="1"/>
  <c r="L3" i="10"/>
  <c r="O3" i="10" s="1"/>
  <c r="Y3" i="10"/>
  <c r="G5" i="14"/>
  <c r="G4" i="14"/>
  <c r="E65" i="2" l="1"/>
  <c r="E64" i="2"/>
  <c r="J48" i="2"/>
  <c r="J49" i="2"/>
  <c r="J4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tc={4DB85D1F-BAC2-4022-A81D-5A023F5E1A36}</author>
    <author>tc={4892B19E-E588-4C16-BED7-3CB97EAE3077}</author>
    <author>tc={BCF2E923-3CA9-4A48-AFF7-81665EFAC37C}</author>
  </authors>
  <commentList>
    <comment ref="D6" authorId="0" shapeId="0" xr:uid="{4DB85D1F-BAC2-4022-A81D-5A023F5E1A3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mandatory - GSP will add once RAS got started</t>
      </text>
    </comment>
    <comment ref="B27" authorId="1" shapeId="0" xr:uid="{4892B19E-E588-4C16-BED7-3CB97EAE3077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sheets supp x risk for each supplier if you want to have this comparison</t>
      </text>
    </comment>
    <comment ref="B33" authorId="2" shapeId="0" xr:uid="{BCF2E923-3CA9-4A48-AFF7-81665EFAC37C}">
      <text>
        <t>[Threaded comment]
Your version of Excel allows you to read this threaded comment; however, any edits to it will get removed if the file is opened in a newer version of Excel. Learn more: https://go.microsoft.com/fwlink/?linkid=870924
Comment:
    If you add a row - copy formula from J30 to new cell in added row in column J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<sst xmlns="http://schemas.openxmlformats.org/spreadsheetml/2006/main" count="1245" uniqueCount="485">
  <si>
    <t>Category</t>
  </si>
  <si>
    <t>loc curr</t>
  </si>
  <si>
    <t>comp curr</t>
  </si>
  <si>
    <t>Supplier</t>
  </si>
  <si>
    <t>currency</t>
  </si>
  <si>
    <t>last avail. Cost</t>
  </si>
  <si>
    <t>class</t>
  </si>
  <si>
    <t>selected curr</t>
  </si>
  <si>
    <t>final landed</t>
  </si>
  <si>
    <t>initial</t>
  </si>
  <si>
    <t>revised</t>
  </si>
  <si>
    <t>final</t>
  </si>
  <si>
    <t>sav ini/fin</t>
  </si>
  <si>
    <t>sav ini/rev</t>
  </si>
  <si>
    <t>sav rev/fin</t>
  </si>
  <si>
    <t>sav RAS</t>
  </si>
  <si>
    <t>cost  ini</t>
  </si>
  <si>
    <t>cost  rev</t>
  </si>
  <si>
    <t>cost  fin</t>
  </si>
  <si>
    <t>ini landed</t>
  </si>
  <si>
    <t>rev landed</t>
  </si>
  <si>
    <t>last avail. Land</t>
  </si>
  <si>
    <t>-</t>
  </si>
  <si>
    <t>v</t>
  </si>
  <si>
    <t>e</t>
  </si>
  <si>
    <t>r</t>
  </si>
  <si>
    <t>s</t>
  </si>
  <si>
    <t>RAS value:</t>
  </si>
  <si>
    <t>Preferred source L1</t>
  </si>
  <si>
    <t>i</t>
  </si>
  <si>
    <t>Second Source</t>
  </si>
  <si>
    <t>o</t>
  </si>
  <si>
    <t>do not touch anything here!</t>
  </si>
  <si>
    <t>not preferred Source</t>
  </si>
  <si>
    <t>n</t>
  </si>
  <si>
    <t>Yes</t>
  </si>
  <si>
    <t>No</t>
  </si>
  <si>
    <t>.</t>
  </si>
  <si>
    <t>Country</t>
  </si>
  <si>
    <t xml:space="preserve">Chariman Region </t>
  </si>
  <si>
    <t>Argentina</t>
  </si>
  <si>
    <t>COA</t>
  </si>
  <si>
    <t>Australia</t>
  </si>
  <si>
    <t>COSEA</t>
  </si>
  <si>
    <t>Brazil</t>
  </si>
  <si>
    <t xml:space="preserve">China </t>
  </si>
  <si>
    <t>COC</t>
  </si>
  <si>
    <t>Croatia</t>
  </si>
  <si>
    <t>COE</t>
  </si>
  <si>
    <t>Czech Republic</t>
  </si>
  <si>
    <t>Estonia</t>
  </si>
  <si>
    <t>Finland</t>
  </si>
  <si>
    <t>France</t>
  </si>
  <si>
    <t>Germany</t>
  </si>
  <si>
    <t>Hungary</t>
  </si>
  <si>
    <t>India</t>
  </si>
  <si>
    <t>COSA</t>
  </si>
  <si>
    <t>Italy</t>
  </si>
  <si>
    <t>Japan</t>
  </si>
  <si>
    <t>Lithuania</t>
  </si>
  <si>
    <t>Mexico</t>
  </si>
  <si>
    <t>Morocco</t>
  </si>
  <si>
    <t>Netherlands</t>
  </si>
  <si>
    <t>Philippines</t>
  </si>
  <si>
    <t>Poland</t>
  </si>
  <si>
    <t>Portugal</t>
  </si>
  <si>
    <t>Russia</t>
  </si>
  <si>
    <t>Serbia</t>
  </si>
  <si>
    <t>Singapore</t>
  </si>
  <si>
    <t>Slovakia</t>
  </si>
  <si>
    <t>South Africa</t>
  </si>
  <si>
    <t>South Korea</t>
  </si>
  <si>
    <t>Spain</t>
  </si>
  <si>
    <t>Sri Lanka</t>
  </si>
  <si>
    <t>Switzerland</t>
  </si>
  <si>
    <t>Thailand</t>
  </si>
  <si>
    <t>Turkey</t>
  </si>
  <si>
    <t>United Arab Emirates</t>
  </si>
  <si>
    <t>United Kingdom</t>
  </si>
  <si>
    <t>United States</t>
  </si>
  <si>
    <t>other</t>
  </si>
  <si>
    <t>not defined</t>
  </si>
  <si>
    <t>Project Detail</t>
  </si>
  <si>
    <t>Receive Date @ GSP</t>
  </si>
  <si>
    <t>Requisition Type</t>
  </si>
  <si>
    <t>Capex [Motherson budget]</t>
  </si>
  <si>
    <t>RAS Category L1</t>
  </si>
  <si>
    <t>Benchmark</t>
  </si>
  <si>
    <t>Approval Date @ GSP</t>
  </si>
  <si>
    <t>days @ GSP</t>
  </si>
  <si>
    <t>RAS Category L2</t>
  </si>
  <si>
    <t>RAS Number</t>
  </si>
  <si>
    <t>Region</t>
  </si>
  <si>
    <t>RAS Category L3</t>
  </si>
  <si>
    <t>Sheet No.</t>
  </si>
  <si>
    <t>Group Company</t>
  </si>
  <si>
    <t>Unit Negotiated Value</t>
  </si>
  <si>
    <t>RAS Category L4</t>
  </si>
  <si>
    <t>Indenter, Originator or RFQ Responsible</t>
  </si>
  <si>
    <t>Plant / Unit</t>
  </si>
  <si>
    <t>Com. Code / Category</t>
  </si>
  <si>
    <t>RAS Category L5</t>
  </si>
  <si>
    <t>last PO</t>
  </si>
  <si>
    <t>Contact Number</t>
  </si>
  <si>
    <t>GSP Manager</t>
  </si>
  <si>
    <t>RAS Category L6</t>
  </si>
  <si>
    <t>Name of the Supplier</t>
  </si>
  <si>
    <t>Supplier 1</t>
  </si>
  <si>
    <t>Supplier 2</t>
  </si>
  <si>
    <t>Supplier 3</t>
  </si>
  <si>
    <t>Supplier 4</t>
  </si>
  <si>
    <t>Supplier 5</t>
  </si>
  <si>
    <t>Supplier 6</t>
  </si>
  <si>
    <t>Supplier 7</t>
  </si>
  <si>
    <t>Supplier 8</t>
  </si>
  <si>
    <t>Supplier 9</t>
  </si>
  <si>
    <t>Supplier 10</t>
  </si>
  <si>
    <t>Preference</t>
  </si>
  <si>
    <t>Quote meet spec</t>
  </si>
  <si>
    <t>Supplier's Contact Person</t>
  </si>
  <si>
    <t>Supplier's Contact Number</t>
  </si>
  <si>
    <t>Supplier's Email Address</t>
  </si>
  <si>
    <t>Offer No.</t>
  </si>
  <si>
    <t>Offer Date</t>
  </si>
  <si>
    <t>Offer Validity</t>
  </si>
  <si>
    <t>Supplier Country / Classification</t>
  </si>
  <si>
    <t>Austria</t>
  </si>
  <si>
    <t>INDIA</t>
  </si>
  <si>
    <t>USA</t>
  </si>
  <si>
    <t>CHINA</t>
  </si>
  <si>
    <t>BRAZIL</t>
  </si>
  <si>
    <t>ARMENIA</t>
  </si>
  <si>
    <t>Country of Origin / Classification</t>
  </si>
  <si>
    <t>FRANCE</t>
  </si>
  <si>
    <t>EL SALVADOR</t>
  </si>
  <si>
    <t>CANADA</t>
  </si>
  <si>
    <t>Financial Risk (RAPID RATING or others)</t>
  </si>
  <si>
    <t>Panel supplier status</t>
  </si>
  <si>
    <t>ISO 9001</t>
  </si>
  <si>
    <t>ISO 14001</t>
  </si>
  <si>
    <t>ECOVADIS rating</t>
  </si>
  <si>
    <t>TISAX</t>
  </si>
  <si>
    <t>Supplier rating / Risk assessment (sheet "Supp x risk")</t>
  </si>
  <si>
    <t>Currency for Comparison:</t>
  </si>
  <si>
    <t>EUR</t>
  </si>
  <si>
    <t>Supplier Currency</t>
  </si>
  <si>
    <t>INR</t>
  </si>
  <si>
    <t>USD</t>
  </si>
  <si>
    <t>Description</t>
  </si>
  <si>
    <t>Make / Brand</t>
  </si>
  <si>
    <t>UOM</t>
  </si>
  <si>
    <t>Qty</t>
  </si>
  <si>
    <t>Initial
Offer (Unit)</t>
  </si>
  <si>
    <t>Revised Offer (Unit)</t>
  </si>
  <si>
    <t>Final
Offer (GSP)</t>
  </si>
  <si>
    <t>Final Amount</t>
  </si>
  <si>
    <t>Final
Offer</t>
  </si>
  <si>
    <t>Total Amount in supplier currency</t>
  </si>
  <si>
    <t>Saving %age</t>
  </si>
  <si>
    <t>Savings Info</t>
  </si>
  <si>
    <t>Initial/Final</t>
  </si>
  <si>
    <t>Initial/Rev.</t>
  </si>
  <si>
    <t>Rev./Final</t>
  </si>
  <si>
    <t>Insourcing</t>
  </si>
  <si>
    <t>Hybrid</t>
  </si>
  <si>
    <t>Single sourcing</t>
  </si>
  <si>
    <t>eAuction</t>
  </si>
  <si>
    <t>Supplier justification (BER) signed</t>
  </si>
  <si>
    <t>Revised terms</t>
  </si>
  <si>
    <t>Final terms</t>
  </si>
  <si>
    <t>Incoterms</t>
  </si>
  <si>
    <t>Freight</t>
  </si>
  <si>
    <t>Insurance</t>
  </si>
  <si>
    <t>Packing and Forwarding</t>
  </si>
  <si>
    <t>Taxes</t>
  </si>
  <si>
    <t>Installation</t>
  </si>
  <si>
    <t>customs / duties</t>
  </si>
  <si>
    <t>Delivery Period (Weeks)</t>
  </si>
  <si>
    <t>Warranty (Months)</t>
  </si>
  <si>
    <t>Advance payment (any payment before delivery to MOTHERSON)</t>
  </si>
  <si>
    <t>SCF (Supply Chain Finance Program)</t>
  </si>
  <si>
    <t>Payment Terms</t>
  </si>
  <si>
    <t>Special Remark</t>
  </si>
  <si>
    <t>GSP Purchase Saving %age</t>
  </si>
  <si>
    <t>RAS Saving %age</t>
  </si>
  <si>
    <t>Negotiated By:
[GSP Buyer/Manager]</t>
  </si>
  <si>
    <t>Approved By:
[GSP Commodity Director]</t>
  </si>
  <si>
    <t>Approved Supplier / Classification</t>
  </si>
  <si>
    <t>Approved Cost
(total Amount row 37, 38)</t>
  </si>
  <si>
    <t>Landed Cost (for Reference)</t>
  </si>
  <si>
    <t>Approvals
(according to Group Companies requirements)</t>
  </si>
  <si>
    <t>Department</t>
  </si>
  <si>
    <t>Name</t>
  </si>
  <si>
    <t>Date</t>
  </si>
  <si>
    <t>Approver
Signature</t>
  </si>
  <si>
    <t>BID EXCEPTION REPORT</t>
  </si>
  <si>
    <t>Budget Line Ref.:</t>
  </si>
  <si>
    <t>Reasoning for not obtaining at least three bids/quotes</t>
  </si>
  <si>
    <t>Order Value:</t>
  </si>
  <si>
    <t>Reasoning for not obtaining one quote out of 3 from LCC Supliers/ from motherson interal company</t>
  </si>
  <si>
    <t>Reason for awarding the business to non L1 supplier</t>
  </si>
  <si>
    <t>(check one)</t>
  </si>
  <si>
    <t>A.</t>
  </si>
  <si>
    <t>There are less than three potential bidders.  In this case two (2) bidders</t>
  </si>
  <si>
    <t>will be acceptable. The 3rd supplier declined mail to be attached.</t>
  </si>
  <si>
    <t>Explanatory notes/letters should be in the file for "No Bids."</t>
  </si>
  <si>
    <t>B.</t>
  </si>
  <si>
    <t>The item to be purchased is a sole-source item with no substitutes</t>
  </si>
  <si>
    <t>available (proprietary item).</t>
  </si>
  <si>
    <t>C.</t>
  </si>
  <si>
    <t>There are national or local supply contracts for the item(s) to be purchased</t>
  </si>
  <si>
    <t>and they are purchased from the contract supplier.  (Reference Agreement)</t>
  </si>
  <si>
    <t>D.</t>
  </si>
  <si>
    <t xml:space="preserve">The item or items of similar nature have been purchased in the past six (6) </t>
  </si>
  <si>
    <t xml:space="preserve">months and the quotes from that purchase established the best supplier.  </t>
  </si>
  <si>
    <t>Market conditions can change, so be cautious when exercising this option.</t>
  </si>
  <si>
    <t>(Reference previous order)</t>
  </si>
  <si>
    <t xml:space="preserve">E.  </t>
  </si>
  <si>
    <t>Non L1 nomination / Other reasons</t>
  </si>
  <si>
    <t>Description of the product or service to be ordered:</t>
  </si>
  <si>
    <t>Justification of the product or service to be ordered:</t>
  </si>
  <si>
    <t>Justification for waiver of competitive bidding (attach additional information if required):</t>
  </si>
  <si>
    <t>Prepared by:</t>
  </si>
  <si>
    <t>Name:</t>
  </si>
  <si>
    <t>Signed:</t>
  </si>
  <si>
    <t>Date:</t>
  </si>
  <si>
    <t>Purchasing approval:</t>
  </si>
  <si>
    <t>Managing Director / COO / EVP approval:</t>
  </si>
  <si>
    <t>Approver comments:</t>
  </si>
  <si>
    <t>Explanation of the calculation (normally hidden)</t>
  </si>
  <si>
    <t>Currency</t>
  </si>
  <si>
    <t>Contract value:</t>
  </si>
  <si>
    <t>averaged payment target extension: (days)</t>
  </si>
  <si>
    <t>first date vs date in line</t>
  </si>
  <si>
    <t>first date vs date in line incl. Payment target (old terms)</t>
  </si>
  <si>
    <t>first date vs date in line incl. Payment target (new terms)</t>
  </si>
  <si>
    <t>Multiplication of days and percentages to be able to sum up (old terms)</t>
  </si>
  <si>
    <t>Multiplication of days and percentages to be able to sum up (new terms)</t>
  </si>
  <si>
    <t>Country/Region:</t>
  </si>
  <si>
    <t>India [INR]</t>
  </si>
  <si>
    <t>Working Capital Improvement:</t>
  </si>
  <si>
    <t>WACC:</t>
  </si>
  <si>
    <t>Valcon out of WCI:</t>
  </si>
  <si>
    <t>steps</t>
  </si>
  <si>
    <t>initial payment terms</t>
  </si>
  <si>
    <t>final payment terms</t>
  </si>
  <si>
    <t>this file for calculating wci value
yellow cells are to be adjusted
up to 9 different steps are available
on the bottom there is a line for checking if 100% is filled
WCI is automatically calculated
if there are any changes needed feel free to contact Felix Müller (felix.mueller@motherson.com)</t>
  </si>
  <si>
    <t>reason</t>
  </si>
  <si>
    <t>date</t>
  </si>
  <si>
    <t>percentage</t>
  </si>
  <si>
    <t>payment target</t>
  </si>
  <si>
    <t>down payment</t>
  </si>
  <si>
    <t>design approval</t>
  </si>
  <si>
    <t>delivery</t>
  </si>
  <si>
    <t>installation</t>
  </si>
  <si>
    <t>final approval</t>
  </si>
  <si>
    <t>step 6</t>
  </si>
  <si>
    <t>step 7</t>
  </si>
  <si>
    <t>step 8</t>
  </si>
  <si>
    <t>step 9</t>
  </si>
  <si>
    <t>Check:</t>
  </si>
  <si>
    <t>This cell checks if the sum of the percentages is 100 (old terms)</t>
  </si>
  <si>
    <t>This cell checks if correct values have been entered for both old and new percentages.</t>
  </si>
  <si>
    <t>This value indicates after how many days a single payment would be made, which is the sum of the individual payment steps. (old terms)</t>
  </si>
  <si>
    <t>This value indicates after how many days a single payment would be made, which is the sum of the individual payment steps. (new terms)</t>
  </si>
  <si>
    <t>Difference between sum new and sum old
= averaged payment target extension</t>
  </si>
  <si>
    <t>project:</t>
  </si>
  <si>
    <t>supplier</t>
  </si>
  <si>
    <t>project owner</t>
  </si>
  <si>
    <t>Approval:</t>
  </si>
  <si>
    <t>Currency Name</t>
  </si>
  <si>
    <t>Code</t>
  </si>
  <si>
    <t>1 EUR in XX</t>
  </si>
  <si>
    <t>1 XX in EUR</t>
  </si>
  <si>
    <t>EURO</t>
  </si>
  <si>
    <t>United States Dollar</t>
  </si>
  <si>
    <t>Indian Rupee</t>
  </si>
  <si>
    <t>United Arab Emirates Dirham</t>
  </si>
  <si>
    <t>AED</t>
  </si>
  <si>
    <t>Chinese Yuan</t>
  </si>
  <si>
    <t>CNY</t>
  </si>
  <si>
    <t>Japanese Yen</t>
  </si>
  <si>
    <t>JPY</t>
  </si>
  <si>
    <t>Argentine Peso</t>
  </si>
  <si>
    <t>ARS</t>
  </si>
  <si>
    <t>Australian Dollar</t>
  </si>
  <si>
    <t>AUD</t>
  </si>
  <si>
    <t>Brazilian Real</t>
  </si>
  <si>
    <t>BRL</t>
  </si>
  <si>
    <t>Swiss Franc</t>
  </si>
  <si>
    <t>CHF</t>
  </si>
  <si>
    <t>British Pound Sterling</t>
  </si>
  <si>
    <t>GBP</t>
  </si>
  <si>
    <t>Hong Kong Dollar</t>
  </si>
  <si>
    <t>HKD</t>
  </si>
  <si>
    <t>Indonesian Rupiah</t>
  </si>
  <si>
    <t>IDR</t>
  </si>
  <si>
    <t>North Korean Won</t>
  </si>
  <si>
    <t>KPW</t>
  </si>
  <si>
    <t>South Korean Won</t>
  </si>
  <si>
    <t>KRW</t>
  </si>
  <si>
    <t>Mexican Peso</t>
  </si>
  <si>
    <t>MXN</t>
  </si>
  <si>
    <t>New Zealand Dollar</t>
  </si>
  <si>
    <t>NZD</t>
  </si>
  <si>
    <t>Russian Ruble</t>
  </si>
  <si>
    <t>RUB</t>
  </si>
  <si>
    <t>Singapore Dollar</t>
  </si>
  <si>
    <t>SGD</t>
  </si>
  <si>
    <t>South African Rand</t>
  </si>
  <si>
    <t>ZAR</t>
  </si>
  <si>
    <t>Polish Zloty</t>
  </si>
  <si>
    <t>PLN</t>
  </si>
  <si>
    <t>Hungarian Forint</t>
  </si>
  <si>
    <t>HUF</t>
  </si>
  <si>
    <t>Thai Baht</t>
  </si>
  <si>
    <t>THB</t>
  </si>
  <si>
    <t>Taiwan-Dollar</t>
  </si>
  <si>
    <t>TWD</t>
  </si>
  <si>
    <t>Serbian Dinar</t>
  </si>
  <si>
    <t>RSD</t>
  </si>
  <si>
    <t>Moroccan Dirham</t>
  </si>
  <si>
    <t>MAD</t>
  </si>
  <si>
    <t>last update:</t>
  </si>
  <si>
    <t>https://bankenverband.de/service/waehrungsrechner/table/</t>
  </si>
  <si>
    <t>https://themoneyconverter.com/DE</t>
  </si>
  <si>
    <t>RISK CATEGORY GUIDELINES</t>
  </si>
  <si>
    <t>Score card</t>
  </si>
  <si>
    <t>Between</t>
  </si>
  <si>
    <t>Comment</t>
  </si>
  <si>
    <t>These guidelines are to help indicate the relative risk of a supply situation.  If the situation does not clearly fit into a guideline / example, use common sense.</t>
  </si>
  <si>
    <t>Preferred</t>
  </si>
  <si>
    <t>Supplier can be considered for nomination</t>
  </si>
  <si>
    <t>Cautionary</t>
  </si>
  <si>
    <t>Supplier score to be understood to identify what has driven score and to work with supplier to improve before nomination</t>
  </si>
  <si>
    <t>Score</t>
  </si>
  <si>
    <t>Risk</t>
  </si>
  <si>
    <t>Supplier score to be understood to identify what has driven score and to work with supplier to improve for future potential business but cannot be nominated</t>
  </si>
  <si>
    <t>Risk / Category</t>
  </si>
  <si>
    <t>Rating (1-5)</t>
  </si>
  <si>
    <t>Guidelines</t>
  </si>
  <si>
    <t>High risk</t>
  </si>
  <si>
    <t>Supplier cannot to be sourced</t>
  </si>
  <si>
    <t>1. Supplier location</t>
  </si>
  <si>
    <t>Incumbent supplier located within 25 miles to motherson site</t>
  </si>
  <si>
    <t>Incumbent supplier and located over 25miles from motherson site</t>
  </si>
  <si>
    <t>New  supplier located within 25 miles to motherson site</t>
  </si>
  <si>
    <t>New supplier and located over 25miles but less than 50 miles from motherson site</t>
  </si>
  <si>
    <t>New supplier and located over 50 miles from mothersonR site</t>
  </si>
  <si>
    <t>2. Service/Good/Contract Delivery</t>
  </si>
  <si>
    <t>Incumbent supplier with no performance issues, delivers on time and in full</t>
  </si>
  <si>
    <t>Incumbent supplier - Previous delivery on time but not in full</t>
  </si>
  <si>
    <t>Incumbent supplier - Previous delivery not on time or in full, being monitor for poor performance</t>
  </si>
  <si>
    <t>New supplier - no delivery data spend &lt;10K€</t>
  </si>
  <si>
    <t xml:space="preserve">New supplier - no delivery data spend &gt;10K€ or Incumbent not Delivered </t>
  </si>
  <si>
    <t>3. Management</t>
  </si>
  <si>
    <t>Incumbent supplier with no performance issues</t>
  </si>
  <si>
    <t>Incumbent supplier with minor performance issues</t>
  </si>
  <si>
    <t>Incumbent supplier with cautionery performance issues</t>
  </si>
  <si>
    <r>
      <rPr>
        <b/>
        <sz val="10"/>
        <rFont val="Arial"/>
        <family val="2"/>
      </rPr>
      <t>New supplier</t>
    </r>
    <r>
      <rPr>
        <sz val="10"/>
        <rFont val="Arial"/>
        <family val="2"/>
      </rPr>
      <t xml:space="preserve"> - no performance data spend &lt;10K€  or 
</t>
    </r>
    <r>
      <rPr>
        <b/>
        <sz val="10"/>
        <rFont val="Arial"/>
        <family val="2"/>
      </rPr>
      <t>Incumbent supplier</t>
    </r>
    <r>
      <rPr>
        <sz val="10"/>
        <rFont val="Arial"/>
        <family val="2"/>
      </rPr>
      <t xml:space="preserve"> with major performance issues</t>
    </r>
  </si>
  <si>
    <r>
      <rPr>
        <b/>
        <sz val="10"/>
        <rFont val="Arial"/>
        <family val="2"/>
      </rPr>
      <t xml:space="preserve">New supplier </t>
    </r>
    <r>
      <rPr>
        <sz val="10"/>
        <rFont val="Arial"/>
        <family val="2"/>
      </rPr>
      <t xml:space="preserve">- no performance data spend &gt;10K€ or 
</t>
    </r>
    <r>
      <rPr>
        <b/>
        <sz val="10"/>
        <rFont val="Arial"/>
        <family val="2"/>
      </rPr>
      <t>Incumbent supplier</t>
    </r>
    <r>
      <rPr>
        <sz val="10"/>
        <rFont val="Arial"/>
        <family val="2"/>
      </rPr>
      <t xml:space="preserve"> with major performance issues</t>
    </r>
  </si>
  <si>
    <t>4. Service</t>
  </si>
  <si>
    <r>
      <t xml:space="preserve">Support was instant at no additional cost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SLA under 24 hours</t>
    </r>
  </si>
  <si>
    <r>
      <t>Support was instant with additional cost</t>
    </r>
    <r>
      <rPr>
        <b/>
        <sz val="10"/>
        <rFont val="Arial"/>
        <family val="2"/>
      </rPr>
      <t xml:space="preserve"> or </t>
    </r>
    <r>
      <rPr>
        <sz val="10"/>
        <rFont val="Arial"/>
        <family val="2"/>
      </rPr>
      <t xml:space="preserve">SLA under 24 hours </t>
    </r>
  </si>
  <si>
    <r>
      <t xml:space="preserve">Support was instant at no additional cost </t>
    </r>
    <r>
      <rPr>
        <b/>
        <sz val="10"/>
        <rFont val="Arial"/>
        <family val="2"/>
      </rPr>
      <t xml:space="preserve">or </t>
    </r>
    <r>
      <rPr>
        <sz val="10"/>
        <rFont val="Arial"/>
        <family val="2"/>
      </rPr>
      <t xml:space="preserve">SLA 48+  hours </t>
    </r>
  </si>
  <si>
    <r>
      <t xml:space="preserve">Support was instant with additional cost </t>
    </r>
    <r>
      <rPr>
        <b/>
        <sz val="10"/>
        <rFont val="Arial"/>
        <family val="2"/>
      </rPr>
      <t xml:space="preserve">or </t>
    </r>
    <r>
      <rPr>
        <sz val="10"/>
        <rFont val="Arial"/>
        <family val="2"/>
      </rPr>
      <t xml:space="preserve">SLA 48+  hours </t>
    </r>
  </si>
  <si>
    <t>Support was +72 hours</t>
  </si>
  <si>
    <t>5. Commerical</t>
  </si>
  <si>
    <t>Best price and payment days provided after benchmarking</t>
  </si>
  <si>
    <t>Best price provided after benchmarking</t>
  </si>
  <si>
    <t xml:space="preserve"> </t>
  </si>
  <si>
    <t>Competitive pricing but not lowest after benchmarking</t>
  </si>
  <si>
    <t>Higher than competitors</t>
  </si>
  <si>
    <t>Higher than competitors and also late to quote</t>
  </si>
  <si>
    <t>Supplier Country</t>
  </si>
  <si>
    <t>Proposed Category</t>
  </si>
  <si>
    <t>Cost Structure
(Labour Cost/ Hour)</t>
  </si>
  <si>
    <t>ALBANIA</t>
  </si>
  <si>
    <t>Low Cost</t>
  </si>
  <si>
    <t>ARGENTINA</t>
  </si>
  <si>
    <t>AUSTRALIA</t>
  </si>
  <si>
    <t>High Cost</t>
  </si>
  <si>
    <t>BELGIUM</t>
  </si>
  <si>
    <t>BOSNIA AND HERZEGOWINA</t>
  </si>
  <si>
    <t>BULGARIA</t>
  </si>
  <si>
    <t>COLOMBIA</t>
  </si>
  <si>
    <t>CONGO</t>
  </si>
  <si>
    <t>CROATIA</t>
  </si>
  <si>
    <t>Medium Cost</t>
  </si>
  <si>
    <t>CZECH REPUBLIC</t>
  </si>
  <si>
    <t>DENMARK</t>
  </si>
  <si>
    <t>England</t>
  </si>
  <si>
    <t>ESTONIA</t>
  </si>
  <si>
    <t>FINLAND</t>
  </si>
  <si>
    <t>GAMBIA</t>
  </si>
  <si>
    <t>GERMANY</t>
  </si>
  <si>
    <t>HONG KONG</t>
  </si>
  <si>
    <t>HUNGARY</t>
  </si>
  <si>
    <t>INDONESIA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</si>
  <si>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</si>
  <si>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</si>
  <si>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</si>
  <si>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</si>
  <si>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</si>
  <si>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</si>
  <si>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</si>
  <si>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</si>
  <si>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MALAYSIA</t>
  </si>
  <si>
    <t>MEXICO</t>
  </si>
  <si>
    <t>MOROCCO</t>
  </si>
  <si>
    <t>NETHERLANDS</t>
  </si>
  <si>
    <t>NEW ZEALAND</t>
  </si>
  <si>
    <t>North Korea</t>
  </si>
  <si>
    <t>NORWAY</t>
  </si>
  <si>
    <t>other - high</t>
  </si>
  <si>
    <t>other - low</t>
  </si>
  <si>
    <t>other - mid</t>
  </si>
  <si>
    <t>PARAGUAY</t>
  </si>
  <si>
    <t>PHILIPPINES</t>
  </si>
  <si>
    <t>POLAND</t>
  </si>
  <si>
    <t>PORTUGAL</t>
  </si>
  <si>
    <t>ROMANIA</t>
  </si>
  <si>
    <t>RUSSIAN FEDERATION</t>
  </si>
  <si>
    <t>SAUDI ARABIA</t>
  </si>
  <si>
    <t>SERBIA</t>
  </si>
  <si>
    <t>SINGAPORE</t>
  </si>
  <si>
    <t>SLOVAKIA</t>
  </si>
  <si>
    <t>SLOVENIA</t>
  </si>
  <si>
    <t>SOUTH AFRICA</t>
  </si>
  <si>
    <t>SOUTH KOREA</t>
  </si>
  <si>
    <t>SPAIN</t>
  </si>
  <si>
    <t>SWEDEN</t>
  </si>
  <si>
    <t>SWITZERLAND</t>
  </si>
  <si>
    <t>TAIWAN</t>
  </si>
  <si>
    <t>THAILAND</t>
  </si>
  <si>
    <t>TOKELAU</t>
  </si>
  <si>
    <t>TUNISIA</t>
  </si>
  <si>
    <t>TURKEY</t>
  </si>
  <si>
    <t>UK</t>
  </si>
  <si>
    <t>UKRAINE</t>
  </si>
  <si>
    <t>UNITED ARAB EMIRATES</t>
  </si>
  <si>
    <t>UNITED KINGDOM</t>
  </si>
  <si>
    <t>UNITED STATES</t>
  </si>
  <si>
    <t>VIETNAM</t>
  </si>
  <si>
    <t>WALLIS AND FUTUNA ISLANDS</t>
  </si>
  <si>
    <t>ZAIRE</t>
  </si>
  <si>
    <t>info:</t>
  </si>
  <si>
    <t>should be in line with RAS rates</t>
  </si>
  <si>
    <t>date:</t>
  </si>
  <si>
    <t>Cost of Capital Oct 2023</t>
  </si>
  <si>
    <t>Australia [AUD]</t>
  </si>
  <si>
    <t>US [USD]</t>
  </si>
  <si>
    <t>China [CNY]</t>
  </si>
  <si>
    <t>UK [GBP]</t>
  </si>
  <si>
    <t>Germany [EUR]</t>
  </si>
  <si>
    <t>France [EUR]</t>
  </si>
  <si>
    <t>UAE [USD]</t>
  </si>
  <si>
    <t>Brazil [BRL]</t>
  </si>
  <si>
    <t>Thailand [THB]</t>
  </si>
  <si>
    <t>South Korea [KRW]</t>
  </si>
  <si>
    <t>Japan [JPY]</t>
  </si>
  <si>
    <t>South Africa [ZAR]</t>
  </si>
  <si>
    <t>Argentina [ARS]</t>
  </si>
  <si>
    <t>Croatia [EUR]</t>
  </si>
  <si>
    <t>Mexico [USD]</t>
  </si>
  <si>
    <t>Mexico [MXN]</t>
  </si>
  <si>
    <t>Turkey [EUR]</t>
  </si>
  <si>
    <t>Turkey [TRY]</t>
  </si>
  <si>
    <t>TRY</t>
  </si>
  <si>
    <t>Hungary [EUR]</t>
  </si>
  <si>
    <t>Hungary [HUF]</t>
  </si>
  <si>
    <t>Slovakia [EUR]</t>
  </si>
  <si>
    <t>Slovakia [SKK]</t>
  </si>
  <si>
    <t>SKK</t>
  </si>
  <si>
    <t>Czech Republic [EUR]</t>
  </si>
  <si>
    <t>Czech Republic [CZK]</t>
  </si>
  <si>
    <t>CZK</t>
  </si>
  <si>
    <t>Serbia [EUR]</t>
  </si>
  <si>
    <t>Serbia [RSD]</t>
  </si>
  <si>
    <t>Morocco  [EUR]</t>
  </si>
  <si>
    <t>Morocco  [MAD]</t>
  </si>
  <si>
    <t>Form_GSP_MPBC_00001_2025_09</t>
  </si>
  <si>
    <t>Czech Koruna</t>
  </si>
  <si>
    <t>Motherson Purchase BID Comparison [MPBC]</t>
  </si>
  <si>
    <t>* select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</si>
</sst>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-* #,##0.00\ &quot;€&quot;_-;\-* #,##0.00\ &quot;€&quot;_-;_-* &quot;-&quot;??\ &quot;€&quot;_-;_-@_-"/>
    <numFmt numFmtId="165" formatCode="_-* #,##0.00_-;\-* #,##0.00_-;_-* &quot;-&quot;??_-;_-@_-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[$-409]d\-mmm\-yy;@"/>
    <numFmt numFmtId="169" formatCode="[$INR]\ #,##0"/>
    <numFmt numFmtId="170" formatCode="&quot; &quot;#,##0"/>
    <numFmt numFmtId="171" formatCode="_([$€-2]\ * #,##0.00_);_([$€-2]\ * \(#,##0.00\);_([$€-2]\ * &quot;-&quot;??_);_(@_)"/>
    <numFmt numFmtId="172" formatCode="0.0%"/>
    <numFmt numFmtId="173" formatCode="0.0000000"/>
    <numFmt numFmtId="174" formatCode="yyyy\-mm\-dd;@"/>
    <numFmt numFmtId="175" formatCode="0.000"/>
    <numFmt numFmtId="176" formatCode="_-* #,##0.00\ [$€-407]_-;\-* #,##0.00\ [$€-407]_-;_-* &quot;-&quot;??\ [$€-407]_-;_-@_-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8"/>
      <color theme="1"/>
      <name val="Calibri"/>
      <family val="2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Arial"/>
      <family val="2"/>
    </font>
    <font>
      <b/>
      <sz val="16"/>
      <color theme="1"/>
      <name val="Calibri"/>
      <family val="2"/>
      <scheme val="minor"/>
    </font>
    <font>
      <b/>
      <sz val="10"/>
      <name val="Arial"/>
      <family val="2"/>
    </font>
    <font>
      <b/>
      <sz val="20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8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0"/>
      <color rgb="FF000000"/>
      <name val="Segoe UI"/>
      <family val="2"/>
    </font>
    <font>
      <sz val="8"/>
      <name val="Calibri"/>
      <family val="2"/>
      <scheme val="minor"/>
    </font>
    <font>
      <sz val="11"/>
      <name val="Calibri"/>
      <family val="2"/>
    </font>
    <font>
      <sz val="12"/>
      <color rgb="FFFF0000"/>
      <name val="Calibri"/>
      <family val="2"/>
      <scheme val="minor"/>
    </font>
    <font>
      <b/>
      <sz val="16"/>
      <name val="Calibri"/>
      <family val="2"/>
      <scheme val="minor"/>
    </font>
    <font>
      <i/>
      <sz val="10"/>
      <color indexed="8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6CF2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EAEA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7" tint="0.39997558519241921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6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0" fontId="13" fillId="0" borderId="0" applyFill="0" applyProtection="0"/>
    <xf numFmtId="164" fontId="1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8" fillId="0" borderId="0"/>
    <xf numFmtId="0" fontId="27" fillId="0" borderId="0"/>
    <xf numFmtId="0" fontId="31" fillId="0" borderId="0"/>
    <xf numFmtId="0" fontId="1" fillId="0" borderId="0"/>
  </cellStyleXfs>
  <cellXfs count="412">
    <xf numFmtId="0" fontId="0" fillId="0" borderId="0" xfId="0"/>
    <xf numFmtId="0" fontId="11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 wrapText="1"/>
    </xf>
    <xf numFmtId="0" fontId="10" fillId="0" borderId="0" xfId="0" applyFont="1"/>
    <xf numFmtId="0" fontId="5" fillId="5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vertical="center" wrapText="1"/>
    </xf>
    <xf numFmtId="171" fontId="5" fillId="0" borderId="1" xfId="0" applyNumberFormat="1" applyFont="1" applyBorder="1" applyAlignment="1">
      <alignment horizontal="center"/>
    </xf>
    <xf numFmtId="171" fontId="5" fillId="2" borderId="1" xfId="0" applyNumberFormat="1" applyFont="1" applyFill="1" applyBorder="1" applyAlignment="1">
      <alignment horizontal="center"/>
    </xf>
    <xf numFmtId="0" fontId="12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2" fontId="5" fillId="0" borderId="1" xfId="2" applyNumberFormat="1" applyFont="1" applyBorder="1" applyAlignment="1">
      <alignment horizontal="center" vertical="center"/>
    </xf>
    <xf numFmtId="0" fontId="14" fillId="0" borderId="0" xfId="9" applyFont="1" applyFill="1" applyProtection="1"/>
    <xf numFmtId="0" fontId="14" fillId="0" borderId="0" xfId="9" applyFont="1" applyFill="1" applyAlignment="1" applyProtection="1">
      <alignment horizontal="center" vertical="center"/>
    </xf>
    <xf numFmtId="0" fontId="14" fillId="0" borderId="1" xfId="9" applyFont="1" applyFill="1" applyBorder="1" applyAlignment="1" applyProtection="1">
      <alignment horizontal="center" vertical="center"/>
    </xf>
    <xf numFmtId="173" fontId="14" fillId="0" borderId="1" xfId="9" applyNumberFormat="1" applyFont="1" applyFill="1" applyBorder="1" applyAlignment="1" applyProtection="1">
      <alignment horizontal="center" vertical="center"/>
    </xf>
    <xf numFmtId="4" fontId="2" fillId="2" borderId="1" xfId="3" applyNumberFormat="1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>
      <alignment horizontal="center"/>
    </xf>
    <xf numFmtId="0" fontId="15" fillId="0" borderId="1" xfId="0" applyFont="1" applyBorder="1" applyAlignment="1">
      <alignment horizontal="center" vertical="top"/>
    </xf>
    <xf numFmtId="0" fontId="15" fillId="0" borderId="15" xfId="0" applyFont="1" applyBorder="1" applyAlignment="1">
      <alignment horizontal="center" vertical="top"/>
    </xf>
    <xf numFmtId="0" fontId="0" fillId="7" borderId="16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0" fontId="0" fillId="8" borderId="14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0" borderId="15" xfId="0" applyBorder="1" applyAlignment="1">
      <alignment vertical="center" wrapText="1"/>
    </xf>
    <xf numFmtId="0" fontId="20" fillId="0" borderId="19" xfId="0" applyFont="1" applyBorder="1" applyAlignment="1">
      <alignment vertical="center"/>
    </xf>
    <xf numFmtId="0" fontId="21" fillId="0" borderId="20" xfId="0" applyFont="1" applyBorder="1" applyAlignment="1">
      <alignment vertical="center"/>
    </xf>
    <xf numFmtId="0" fontId="21" fillId="0" borderId="21" xfId="0" applyFont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19" fillId="0" borderId="22" xfId="0" applyFont="1" applyBorder="1" applyAlignment="1">
      <alignment horizontal="left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left" vertical="center" wrapText="1"/>
    </xf>
    <xf numFmtId="0" fontId="15" fillId="0" borderId="24" xfId="0" applyFont="1" applyBorder="1" applyAlignment="1">
      <alignment vertical="center"/>
    </xf>
    <xf numFmtId="0" fontId="16" fillId="6" borderId="25" xfId="0" applyFont="1" applyFill="1" applyBorder="1" applyAlignment="1">
      <alignment horizontal="center" vertical="center"/>
    </xf>
    <xf numFmtId="0" fontId="16" fillId="6" borderId="26" xfId="0" applyFont="1" applyFill="1" applyBorder="1" applyAlignment="1">
      <alignment horizontal="center" vertical="center"/>
    </xf>
    <xf numFmtId="0" fontId="16" fillId="6" borderId="27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0" fillId="0" borderId="0" xfId="0" applyAlignment="1">
      <alignment vertical="center"/>
    </xf>
    <xf numFmtId="0" fontId="8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8" fillId="0" borderId="29" xfId="0" applyFont="1" applyBorder="1" applyAlignment="1">
      <alignment horizontal="center" vertical="center" wrapText="1"/>
    </xf>
    <xf numFmtId="0" fontId="0" fillId="0" borderId="31" xfId="0" applyBorder="1" applyAlignment="1">
      <alignment vertical="center"/>
    </xf>
    <xf numFmtId="0" fontId="19" fillId="10" borderId="22" xfId="0" applyFont="1" applyFill="1" applyBorder="1" applyAlignment="1">
      <alignment horizontal="center" vertical="center" wrapText="1"/>
    </xf>
    <xf numFmtId="0" fontId="0" fillId="0" borderId="24" xfId="0" applyBorder="1" applyAlignment="1">
      <alignment vertical="center"/>
    </xf>
    <xf numFmtId="0" fontId="8" fillId="0" borderId="33" xfId="0" applyFont="1" applyBorder="1" applyAlignment="1">
      <alignment horizontal="center" vertical="center" wrapText="1"/>
    </xf>
    <xf numFmtId="0" fontId="0" fillId="0" borderId="35" xfId="0" applyBorder="1" applyAlignment="1">
      <alignment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11" borderId="39" xfId="0" applyFill="1" applyBorder="1" applyAlignment="1">
      <alignment horizontal="right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 applyProtection="1">
      <alignment horizontal="center"/>
      <protection locked="0"/>
    </xf>
    <xf numFmtId="174" fontId="0" fillId="12" borderId="1" xfId="0" applyNumberFormat="1" applyFill="1" applyBorder="1" applyAlignment="1" applyProtection="1">
      <alignment horizontal="center"/>
      <protection locked="0"/>
    </xf>
    <xf numFmtId="10" fontId="0" fillId="12" borderId="1" xfId="0" applyNumberFormat="1" applyFill="1" applyBorder="1" applyAlignment="1" applyProtection="1">
      <alignment horizontal="center"/>
      <protection locked="0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22" fillId="11" borderId="2" xfId="0" applyFont="1" applyFill="1" applyBorder="1" applyAlignment="1">
      <alignment horizontal="center"/>
    </xf>
    <xf numFmtId="0" fontId="22" fillId="11" borderId="3" xfId="0" applyFont="1" applyFill="1" applyBorder="1" applyAlignment="1">
      <alignment horizontal="center"/>
    </xf>
    <xf numFmtId="10" fontId="22" fillId="11" borderId="3" xfId="0" applyNumberFormat="1" applyFont="1" applyFill="1" applyBorder="1" applyAlignment="1">
      <alignment horizontal="center"/>
    </xf>
    <xf numFmtId="0" fontId="22" fillId="11" borderId="4" xfId="0" applyFont="1" applyFill="1" applyBorder="1" applyAlignment="1">
      <alignment horizontal="center"/>
    </xf>
    <xf numFmtId="2" fontId="15" fillId="0" borderId="0" xfId="0" applyNumberFormat="1" applyFont="1" applyAlignment="1">
      <alignment horizontal="center"/>
    </xf>
    <xf numFmtId="0" fontId="23" fillId="11" borderId="1" xfId="0" applyFont="1" applyFill="1" applyBorder="1" applyAlignment="1">
      <alignment horizontal="center" vertical="center"/>
    </xf>
    <xf numFmtId="0" fontId="0" fillId="11" borderId="14" xfId="0" applyFill="1" applyBorder="1" applyAlignment="1">
      <alignment horizontal="right"/>
    </xf>
    <xf numFmtId="0" fontId="24" fillId="0" borderId="0" xfId="1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14" fillId="0" borderId="0" xfId="9" applyFont="1" applyFill="1" applyAlignment="1" applyProtection="1">
      <alignment horizontal="left" vertical="center"/>
    </xf>
    <xf numFmtId="14" fontId="14" fillId="0" borderId="0" xfId="9" applyNumberFormat="1" applyFont="1" applyFill="1" applyAlignment="1" applyProtection="1">
      <alignment horizontal="left" vertical="center"/>
    </xf>
    <xf numFmtId="1" fontId="2" fillId="0" borderId="1" xfId="0" quotePrefix="1" applyNumberFormat="1" applyFont="1" applyBorder="1" applyAlignment="1" applyProtection="1">
      <alignment horizontal="center" vertical="center" wrapText="1"/>
      <protection locked="0"/>
    </xf>
    <xf numFmtId="175" fontId="2" fillId="0" borderId="1" xfId="0" quotePrefix="1" applyNumberFormat="1" applyFont="1" applyBorder="1" applyAlignment="1" applyProtection="1">
      <alignment horizontal="center" vertical="center" wrapText="1"/>
      <protection locked="0"/>
    </xf>
    <xf numFmtId="2" fontId="6" fillId="8" borderId="30" xfId="1" applyNumberFormat="1" applyFont="1" applyFill="1" applyBorder="1" applyAlignment="1" applyProtection="1">
      <alignment horizontal="center" vertical="center" wrapText="1"/>
      <protection locked="0"/>
    </xf>
    <xf numFmtId="10" fontId="6" fillId="8" borderId="17" xfId="2" applyNumberFormat="1" applyFont="1" applyFill="1" applyBorder="1" applyAlignment="1" applyProtection="1">
      <alignment horizontal="center" vertical="center" wrapText="1"/>
      <protection locked="0"/>
    </xf>
    <xf numFmtId="0" fontId="27" fillId="0" borderId="0" xfId="13"/>
    <xf numFmtId="0" fontId="28" fillId="0" borderId="0" xfId="13" applyFont="1"/>
    <xf numFmtId="0" fontId="8" fillId="0" borderId="0" xfId="13" applyFont="1"/>
    <xf numFmtId="0" fontId="8" fillId="0" borderId="0" xfId="13" applyFont="1" applyAlignment="1">
      <alignment horizontal="right"/>
    </xf>
    <xf numFmtId="0" fontId="8" fillId="0" borderId="43" xfId="13" applyFont="1" applyBorder="1" applyProtection="1">
      <protection locked="0"/>
    </xf>
    <xf numFmtId="176" fontId="8" fillId="0" borderId="43" xfId="13" applyNumberFormat="1" applyFont="1" applyBorder="1" applyProtection="1">
      <protection locked="0"/>
    </xf>
    <xf numFmtId="0" fontId="29" fillId="0" borderId="0" xfId="13" applyFont="1" applyAlignment="1">
      <alignment vertical="center"/>
    </xf>
    <xf numFmtId="0" fontId="19" fillId="0" borderId="3" xfId="13" applyFont="1" applyBorder="1" applyProtection="1">
      <protection locked="0"/>
    </xf>
    <xf numFmtId="0" fontId="8" fillId="0" borderId="3" xfId="13" applyFont="1" applyBorder="1" applyProtection="1">
      <protection locked="0"/>
    </xf>
    <xf numFmtId="0" fontId="19" fillId="0" borderId="43" xfId="13" applyFont="1" applyBorder="1" applyProtection="1">
      <protection locked="0"/>
    </xf>
    <xf numFmtId="0" fontId="19" fillId="0" borderId="0" xfId="13" applyFont="1"/>
    <xf numFmtId="14" fontId="8" fillId="0" borderId="43" xfId="13" applyNumberFormat="1" applyFont="1" applyBorder="1" applyProtection="1">
      <protection locked="0"/>
    </xf>
    <xf numFmtId="0" fontId="8" fillId="0" borderId="0" xfId="13" applyFont="1" applyProtection="1">
      <protection locked="0"/>
    </xf>
    <xf numFmtId="0" fontId="27" fillId="0" borderId="43" xfId="13" applyBorder="1"/>
    <xf numFmtId="0" fontId="8" fillId="0" borderId="0" xfId="13" applyFont="1" applyAlignment="1" applyProtection="1">
      <alignment horizontal="center"/>
      <protection locked="0"/>
    </xf>
    <xf numFmtId="0" fontId="8" fillId="0" borderId="1" xfId="13" applyFont="1" applyBorder="1"/>
    <xf numFmtId="0" fontId="8" fillId="0" borderId="0" xfId="13" applyFont="1" applyAlignment="1">
      <alignment horizontal="center" vertical="center"/>
    </xf>
    <xf numFmtId="4" fontId="0" fillId="0" borderId="0" xfId="0" applyNumberFormat="1"/>
    <xf numFmtId="0" fontId="8" fillId="0" borderId="17" xfId="15" applyFont="1" applyBorder="1" applyAlignment="1">
      <alignment vertical="center" wrapText="1"/>
    </xf>
    <xf numFmtId="0" fontId="8" fillId="0" borderId="1" xfId="15" applyFont="1" applyBorder="1" applyAlignment="1">
      <alignment vertical="center" wrapText="1"/>
    </xf>
    <xf numFmtId="0" fontId="8" fillId="0" borderId="30" xfId="15" applyFont="1" applyBorder="1" applyAlignment="1">
      <alignment vertical="center" wrapText="1"/>
    </xf>
    <xf numFmtId="0" fontId="19" fillId="10" borderId="23" xfId="15" applyFont="1" applyFill="1" applyBorder="1" applyAlignment="1">
      <alignment vertical="center" wrapText="1"/>
    </xf>
    <xf numFmtId="0" fontId="8" fillId="0" borderId="34" xfId="15" applyFont="1" applyBorder="1" applyAlignment="1">
      <alignment vertical="center" wrapText="1"/>
    </xf>
    <xf numFmtId="0" fontId="0" fillId="5" borderId="0" xfId="0" applyFill="1" applyAlignment="1">
      <alignment horizontal="center" vertical="center"/>
    </xf>
    <xf numFmtId="2" fontId="14" fillId="0" borderId="1" xfId="9" applyNumberFormat="1" applyFont="1" applyFill="1" applyBorder="1" applyAlignment="1" applyProtection="1">
      <alignment horizontal="center" vertical="center"/>
    </xf>
    <xf numFmtId="4" fontId="14" fillId="0" borderId="1" xfId="9" applyNumberFormat="1" applyFont="1" applyFill="1" applyBorder="1" applyAlignment="1" applyProtection="1">
      <alignment horizontal="center" vertical="center"/>
    </xf>
    <xf numFmtId="4" fontId="0" fillId="0" borderId="0" xfId="0" applyNumberFormat="1" applyAlignment="1">
      <alignment horizontal="left"/>
    </xf>
    <xf numFmtId="0" fontId="0" fillId="13" borderId="35" xfId="0" applyFill="1" applyBorder="1" applyAlignment="1">
      <alignment horizontal="right"/>
    </xf>
    <xf numFmtId="2" fontId="0" fillId="13" borderId="15" xfId="10" applyNumberFormat="1" applyFont="1" applyFill="1" applyBorder="1" applyAlignment="1">
      <alignment horizontal="right"/>
    </xf>
    <xf numFmtId="2" fontId="0" fillId="13" borderId="40" xfId="10" applyNumberFormat="1" applyFont="1" applyFill="1" applyBorder="1" applyAlignment="1">
      <alignment horizontal="right"/>
    </xf>
    <xf numFmtId="10" fontId="0" fillId="11" borderId="40" xfId="0" applyNumberFormat="1" applyFill="1" applyBorder="1" applyAlignment="1" applyProtection="1">
      <alignment horizontal="right"/>
      <protection locked="0"/>
    </xf>
    <xf numFmtId="0" fontId="0" fillId="12" borderId="15" xfId="0" applyFill="1" applyBorder="1" applyAlignment="1" applyProtection="1">
      <alignment horizontal="right"/>
      <protection locked="0"/>
    </xf>
    <xf numFmtId="0" fontId="0" fillId="11" borderId="53" xfId="0" applyFill="1" applyBorder="1" applyAlignment="1">
      <alignment horizontal="right"/>
    </xf>
    <xf numFmtId="2" fontId="0" fillId="11" borderId="15" xfId="10" applyNumberFormat="1" applyFont="1" applyFill="1" applyBorder="1" applyProtection="1">
      <protection locked="0"/>
    </xf>
    <xf numFmtId="2" fontId="0" fillId="11" borderId="54" xfId="10" applyNumberFormat="1" applyFont="1" applyFill="1" applyBorder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4" fillId="0" borderId="47" xfId="0" applyFont="1" applyBorder="1" applyAlignment="1" applyProtection="1">
      <alignment horizontal="center" vertical="top" wrapText="1"/>
      <protection locked="0"/>
    </xf>
    <xf numFmtId="0" fontId="2" fillId="0" borderId="47" xfId="0" applyFont="1" applyBorder="1" applyAlignment="1" applyProtection="1">
      <alignment horizontal="center" vertical="center" wrapText="1"/>
      <protection locked="0"/>
    </xf>
    <xf numFmtId="1" fontId="2" fillId="0" borderId="47" xfId="0" applyNumberFormat="1" applyFont="1" applyBorder="1" applyAlignment="1" applyProtection="1">
      <alignment horizontal="center" vertical="center" wrapText="1"/>
      <protection locked="0"/>
    </xf>
    <xf numFmtId="14" fontId="2" fillId="0" borderId="47" xfId="0" applyNumberFormat="1" applyFont="1" applyBorder="1" applyAlignment="1" applyProtection="1">
      <alignment horizontal="center" vertical="center" wrapText="1"/>
      <protection locked="0"/>
    </xf>
    <xf numFmtId="1" fontId="2" fillId="0" borderId="47" xfId="0" quotePrefix="1" applyNumberFormat="1" applyFont="1" applyBorder="1" applyAlignment="1" applyProtection="1">
      <alignment horizontal="center" vertical="center" wrapText="1"/>
      <protection locked="0"/>
    </xf>
    <xf numFmtId="1" fontId="4" fillId="0" borderId="47" xfId="0" quotePrefix="1" applyNumberFormat="1" applyFont="1" applyBorder="1" applyAlignment="1" applyProtection="1">
      <alignment horizontal="center" vertical="center" wrapText="1"/>
      <protection locked="0"/>
    </xf>
    <xf numFmtId="175" fontId="2" fillId="0" borderId="47" xfId="0" quotePrefix="1" applyNumberFormat="1" applyFont="1" applyBorder="1" applyAlignment="1" applyProtection="1">
      <alignment horizontal="center" vertical="center" wrapText="1"/>
      <protection locked="0"/>
    </xf>
    <xf numFmtId="3" fontId="7" fillId="2" borderId="47" xfId="0" quotePrefix="1" applyNumberFormat="1" applyFont="1" applyFill="1" applyBorder="1" applyAlignment="1" applyProtection="1">
      <alignment vertical="center" wrapText="1"/>
      <protection locked="0"/>
    </xf>
    <xf numFmtId="0" fontId="4" fillId="0" borderId="0" xfId="0" applyFont="1" applyAlignment="1" applyProtection="1">
      <alignment horizontal="center" vertical="top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1" fontId="2" fillId="0" borderId="0" xfId="0" applyNumberFormat="1" applyFont="1" applyAlignment="1" applyProtection="1">
      <alignment horizontal="center" vertical="center" wrapText="1"/>
      <protection locked="0"/>
    </xf>
    <xf numFmtId="14" fontId="2" fillId="0" borderId="0" xfId="0" applyNumberFormat="1" applyFont="1" applyAlignment="1" applyProtection="1">
      <alignment horizontal="center" vertical="center" wrapText="1"/>
      <protection locked="0"/>
    </xf>
    <xf numFmtId="1" fontId="2" fillId="0" borderId="0" xfId="0" quotePrefix="1" applyNumberFormat="1" applyFont="1" applyAlignment="1" applyProtection="1">
      <alignment horizontal="center" vertical="center" wrapText="1"/>
      <protection locked="0"/>
    </xf>
    <xf numFmtId="1" fontId="4" fillId="0" borderId="0" xfId="0" quotePrefix="1" applyNumberFormat="1" applyFont="1" applyAlignment="1" applyProtection="1">
      <alignment horizontal="center" vertical="center" wrapText="1"/>
      <protection locked="0"/>
    </xf>
    <xf numFmtId="175" fontId="2" fillId="0" borderId="0" xfId="0" quotePrefix="1" applyNumberFormat="1" applyFont="1" applyAlignment="1" applyProtection="1">
      <alignment horizontal="center" vertical="center" wrapText="1"/>
      <protection locked="0"/>
    </xf>
    <xf numFmtId="3" fontId="7" fillId="2" borderId="0" xfId="0" quotePrefix="1" applyNumberFormat="1" applyFont="1" applyFill="1" applyAlignment="1" applyProtection="1">
      <alignment vertical="center" wrapText="1"/>
      <protection locked="0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51" xfId="0" applyFont="1" applyBorder="1"/>
    <xf numFmtId="0" fontId="2" fillId="0" borderId="52" xfId="0" applyFont="1" applyBorder="1"/>
    <xf numFmtId="0" fontId="2" fillId="0" borderId="0" xfId="0" applyFont="1" applyAlignment="1">
      <alignment horizontal="right" vertical="top"/>
    </xf>
    <xf numFmtId="0" fontId="32" fillId="0" borderId="0" xfId="0" applyFont="1" applyAlignment="1">
      <alignment horizontal="left" vertical="top"/>
    </xf>
    <xf numFmtId="0" fontId="33" fillId="0" borderId="47" xfId="0" applyFont="1" applyBorder="1" applyAlignment="1">
      <alignment vertical="center"/>
    </xf>
    <xf numFmtId="0" fontId="33" fillId="0" borderId="0" xfId="0" applyFont="1" applyAlignment="1">
      <alignment vertical="center"/>
    </xf>
    <xf numFmtId="0" fontId="33" fillId="11" borderId="5" xfId="0" applyFont="1" applyFill="1" applyBorder="1" applyAlignment="1">
      <alignment vertical="center"/>
    </xf>
    <xf numFmtId="0" fontId="33" fillId="11" borderId="46" xfId="0" applyFont="1" applyFill="1" applyBorder="1" applyAlignment="1">
      <alignment vertical="center"/>
    </xf>
    <xf numFmtId="0" fontId="33" fillId="11" borderId="8" xfId="0" applyFont="1" applyFill="1" applyBorder="1" applyAlignment="1">
      <alignment vertical="center"/>
    </xf>
    <xf numFmtId="168" fontId="6" fillId="0" borderId="0" xfId="0" applyNumberFormat="1" applyFont="1" applyAlignment="1">
      <alignment horizontal="left" vertical="center"/>
    </xf>
    <xf numFmtId="0" fontId="7" fillId="11" borderId="47" xfId="0" applyFont="1" applyFill="1" applyBorder="1" applyAlignment="1">
      <alignment vertical="center"/>
    </xf>
    <xf numFmtId="0" fontId="7" fillId="11" borderId="0" xfId="0" applyFont="1" applyFill="1" applyAlignment="1">
      <alignment vertical="center"/>
    </xf>
    <xf numFmtId="0" fontId="6" fillId="0" borderId="0" xfId="0" applyFont="1" applyAlignment="1">
      <alignment horizontal="left" vertical="center"/>
    </xf>
    <xf numFmtId="0" fontId="7" fillId="11" borderId="9" xfId="0" applyFont="1" applyFill="1" applyBorder="1" applyAlignment="1">
      <alignment vertical="center"/>
    </xf>
    <xf numFmtId="0" fontId="7" fillId="11" borderId="43" xfId="0" applyFont="1" applyFill="1" applyBorder="1" applyAlignment="1">
      <alignment vertical="center"/>
    </xf>
    <xf numFmtId="0" fontId="7" fillId="11" borderId="2" xfId="0" applyFont="1" applyFill="1" applyBorder="1" applyAlignment="1">
      <alignment horizontal="right" vertical="center"/>
    </xf>
    <xf numFmtId="0" fontId="7" fillId="11" borderId="3" xfId="0" applyFont="1" applyFill="1" applyBorder="1" applyAlignment="1">
      <alignment horizontal="right" vertical="center"/>
    </xf>
    <xf numFmtId="0" fontId="7" fillId="11" borderId="4" xfId="0" applyFont="1" applyFill="1" applyBorder="1" applyAlignment="1">
      <alignment horizontal="right" vertical="center"/>
    </xf>
    <xf numFmtId="0" fontId="7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4" fontId="4" fillId="8" borderId="1" xfId="3" applyNumberFormat="1" applyFont="1" applyFill="1" applyBorder="1" applyAlignment="1" applyProtection="1">
      <alignment horizontal="center" vertical="center" wrapText="1"/>
    </xf>
    <xf numFmtId="4" fontId="4" fillId="8" borderId="2" xfId="3" applyNumberFormat="1" applyFont="1" applyFill="1" applyBorder="1" applyAlignment="1" applyProtection="1">
      <alignment horizontal="center" vertical="center" wrapText="1"/>
    </xf>
    <xf numFmtId="4" fontId="6" fillId="11" borderId="30" xfId="3" applyNumberFormat="1" applyFont="1" applyFill="1" applyBorder="1" applyAlignment="1" applyProtection="1">
      <alignment horizontal="center" vertical="top"/>
    </xf>
    <xf numFmtId="4" fontId="4" fillId="8" borderId="4" xfId="3" applyNumberFormat="1" applyFont="1" applyFill="1" applyBorder="1" applyAlignment="1" applyProtection="1">
      <alignment horizontal="center" vertical="center" wrapText="1"/>
    </xf>
    <xf numFmtId="4" fontId="6" fillId="0" borderId="47" xfId="3" applyNumberFormat="1" applyFont="1" applyFill="1" applyBorder="1" applyAlignment="1" applyProtection="1">
      <alignment horizontal="center" vertical="top"/>
    </xf>
    <xf numFmtId="4" fontId="6" fillId="11" borderId="1" xfId="3" applyNumberFormat="1" applyFont="1" applyFill="1" applyBorder="1" applyAlignment="1" applyProtection="1">
      <alignment horizontal="center" vertical="top"/>
    </xf>
    <xf numFmtId="4" fontId="6" fillId="0" borderId="0" xfId="3" applyNumberFormat="1" applyFont="1" applyFill="1" applyBorder="1" applyAlignment="1" applyProtection="1">
      <alignment horizontal="center" vertical="top"/>
    </xf>
    <xf numFmtId="4" fontId="4" fillId="8" borderId="1" xfId="3" applyNumberFormat="1" applyFont="1" applyFill="1" applyBorder="1" applyAlignment="1" applyProtection="1">
      <alignment horizontal="center" vertical="top"/>
    </xf>
    <xf numFmtId="4" fontId="4" fillId="8" borderId="2" xfId="3" applyNumberFormat="1" applyFont="1" applyFill="1" applyBorder="1" applyAlignment="1" applyProtection="1">
      <alignment horizontal="center" vertical="top"/>
    </xf>
    <xf numFmtId="4" fontId="7" fillId="11" borderId="49" xfId="3" applyNumberFormat="1" applyFont="1" applyFill="1" applyBorder="1" applyAlignment="1" applyProtection="1">
      <alignment horizontal="center" vertical="top"/>
    </xf>
    <xf numFmtId="4" fontId="4" fillId="8" borderId="4" xfId="3" applyNumberFormat="1" applyFont="1" applyFill="1" applyBorder="1" applyAlignment="1" applyProtection="1">
      <alignment horizontal="center" vertical="top"/>
    </xf>
    <xf numFmtId="4" fontId="7" fillId="0" borderId="0" xfId="3" applyNumberFormat="1" applyFont="1" applyFill="1" applyBorder="1" applyAlignment="1" applyProtection="1">
      <alignment horizontal="center" vertical="top"/>
    </xf>
    <xf numFmtId="0" fontId="4" fillId="0" borderId="0" xfId="0" applyFont="1"/>
    <xf numFmtId="4" fontId="2" fillId="11" borderId="1" xfId="3" applyNumberFormat="1" applyFont="1" applyFill="1" applyBorder="1" applyAlignment="1" applyProtection="1">
      <alignment horizontal="center" vertical="center"/>
    </xf>
    <xf numFmtId="4" fontId="2" fillId="11" borderId="2" xfId="3" applyNumberFormat="1" applyFont="1" applyFill="1" applyBorder="1" applyAlignment="1" applyProtection="1">
      <alignment horizontal="center" vertical="center"/>
    </xf>
    <xf numFmtId="4" fontId="6" fillId="11" borderId="49" xfId="0" applyNumberFormat="1" applyFont="1" applyFill="1" applyBorder="1" applyAlignment="1">
      <alignment horizontal="center" vertical="center"/>
    </xf>
    <xf numFmtId="4" fontId="2" fillId="11" borderId="4" xfId="3" applyNumberFormat="1" applyFont="1" applyFill="1" applyBorder="1" applyAlignment="1" applyProtection="1">
      <alignment horizontal="center" vertical="center"/>
    </xf>
    <xf numFmtId="4" fontId="6" fillId="0" borderId="0" xfId="0" applyNumberFormat="1" applyFont="1" applyAlignment="1">
      <alignment horizontal="center" vertical="center"/>
    </xf>
    <xf numFmtId="4" fontId="6" fillId="11" borderId="1" xfId="0" applyNumberFormat="1" applyFont="1" applyFill="1" applyBorder="1" applyAlignment="1">
      <alignment horizontal="center" vertical="center"/>
    </xf>
    <xf numFmtId="4" fontId="2" fillId="8" borderId="1" xfId="3" applyNumberFormat="1" applyFont="1" applyFill="1" applyBorder="1" applyAlignment="1" applyProtection="1">
      <alignment horizontal="center" vertical="center"/>
    </xf>
    <xf numFmtId="10" fontId="6" fillId="11" borderId="49" xfId="2" applyNumberFormat="1" applyFont="1" applyFill="1" applyBorder="1" applyAlignment="1" applyProtection="1">
      <alignment horizontal="center" vertical="center"/>
    </xf>
    <xf numFmtId="10" fontId="6" fillId="11" borderId="17" xfId="2" applyNumberFormat="1" applyFont="1" applyFill="1" applyBorder="1" applyAlignment="1" applyProtection="1">
      <alignment horizontal="center" vertical="center"/>
    </xf>
    <xf numFmtId="10" fontId="6" fillId="0" borderId="47" xfId="2" applyNumberFormat="1" applyFont="1" applyFill="1" applyBorder="1" applyAlignment="1" applyProtection="1">
      <alignment horizontal="center" vertical="center"/>
    </xf>
    <xf numFmtId="10" fontId="6" fillId="11" borderId="1" xfId="2" applyNumberFormat="1" applyFont="1" applyFill="1" applyBorder="1" applyAlignment="1" applyProtection="1">
      <alignment horizontal="center" vertical="center"/>
    </xf>
    <xf numFmtId="10" fontId="6" fillId="0" borderId="0" xfId="2" applyNumberFormat="1" applyFont="1" applyFill="1" applyBorder="1" applyAlignment="1" applyProtection="1">
      <alignment horizontal="center" vertical="center"/>
    </xf>
    <xf numFmtId="10" fontId="2" fillId="8" borderId="1" xfId="2" applyNumberFormat="1" applyFont="1" applyFill="1" applyBorder="1" applyAlignment="1" applyProtection="1">
      <alignment horizontal="center" vertical="center"/>
    </xf>
    <xf numFmtId="10" fontId="2" fillId="8" borderId="2" xfId="2" applyNumberFormat="1" applyFont="1" applyFill="1" applyBorder="1" applyAlignment="1" applyProtection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10" fontId="4" fillId="8" borderId="1" xfId="2" applyNumberFormat="1" applyFont="1" applyFill="1" applyBorder="1" applyAlignment="1" applyProtection="1">
      <alignment horizontal="center" vertical="center" wrapText="1"/>
    </xf>
    <xf numFmtId="10" fontId="4" fillId="0" borderId="0" xfId="2" applyNumberFormat="1" applyFont="1" applyFill="1" applyBorder="1" applyAlignment="1" applyProtection="1">
      <alignment horizontal="center" vertical="center" wrapText="1"/>
    </xf>
    <xf numFmtId="0" fontId="7" fillId="0" borderId="4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0" fontId="6" fillId="11" borderId="0" xfId="2" applyNumberFormat="1" applyFont="1" applyFill="1" applyBorder="1" applyAlignment="1" applyProtection="1">
      <alignment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11" borderId="10" xfId="0" applyFont="1" applyFill="1" applyBorder="1" applyAlignment="1">
      <alignment horizontal="right" vertical="center" wrapText="1"/>
    </xf>
    <xf numFmtId="167" fontId="2" fillId="0" borderId="0" xfId="0" applyNumberFormat="1" applyFont="1"/>
    <xf numFmtId="0" fontId="7" fillId="11" borderId="8" xfId="0" applyFont="1" applyFill="1" applyBorder="1" applyAlignment="1">
      <alignment horizontal="right" vertical="center"/>
    </xf>
    <xf numFmtId="3" fontId="7" fillId="0" borderId="0" xfId="0" quotePrefix="1" applyNumberFormat="1" applyFont="1" applyAlignment="1">
      <alignment horizontal="center" vertical="center" wrapText="1"/>
    </xf>
    <xf numFmtId="0" fontId="7" fillId="11" borderId="48" xfId="0" applyFont="1" applyFill="1" applyBorder="1" applyAlignment="1">
      <alignment horizontal="right" vertical="center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47" xfId="0" applyBorder="1" applyAlignment="1" applyProtection="1">
      <alignment horizontal="center"/>
      <protection locked="0"/>
    </xf>
    <xf numFmtId="0" fontId="2" fillId="8" borderId="1" xfId="0" applyFont="1" applyFill="1" applyBorder="1" applyAlignment="1" applyProtection="1">
      <alignment horizontal="center" vertical="center"/>
      <protection locked="0"/>
    </xf>
    <xf numFmtId="4" fontId="4" fillId="8" borderId="1" xfId="3" applyNumberFormat="1" applyFont="1" applyFill="1" applyBorder="1" applyAlignment="1" applyProtection="1">
      <alignment horizontal="center" vertical="center" wrapText="1"/>
      <protection locked="0"/>
    </xf>
    <xf numFmtId="4" fontId="2" fillId="0" borderId="1" xfId="0" applyNumberFormat="1" applyFont="1" applyBorder="1" applyAlignment="1" applyProtection="1">
      <alignment horizontal="center" vertical="center" wrapText="1"/>
      <protection locked="0"/>
    </xf>
    <xf numFmtId="4" fontId="4" fillId="0" borderId="47" xfId="3" applyNumberFormat="1" applyFont="1" applyFill="1" applyBorder="1" applyAlignment="1" applyProtection="1">
      <alignment horizontal="center" vertical="center" wrapText="1"/>
      <protection locked="0"/>
    </xf>
    <xf numFmtId="4" fontId="4" fillId="0" borderId="0" xfId="3" applyNumberFormat="1" applyFont="1" applyFill="1" applyBorder="1" applyAlignment="1" applyProtection="1">
      <alignment horizontal="center" vertical="center" wrapText="1"/>
      <protection locked="0"/>
    </xf>
    <xf numFmtId="4" fontId="4" fillId="8" borderId="30" xfId="3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/>
      <protection locked="0"/>
    </xf>
    <xf numFmtId="4" fontId="4" fillId="0" borderId="1" xfId="0" applyNumberFormat="1" applyFont="1" applyBorder="1" applyAlignment="1" applyProtection="1">
      <alignment horizont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9" fontId="7" fillId="0" borderId="1" xfId="0" applyNumberFormat="1" applyFont="1" applyBorder="1" applyAlignment="1" applyProtection="1">
      <alignment horizontal="center" vertical="center" wrapText="1"/>
      <protection locked="0"/>
    </xf>
    <xf numFmtId="0" fontId="16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 applyProtection="1">
      <alignment horizontal="center"/>
    </xf>
    <xf numFmtId="2" fontId="0" fillId="0" borderId="0" xfId="0" applyNumberFormat="1"/>
    <xf numFmtId="0" fontId="2" fillId="0" borderId="0" xfId="0" applyFont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34" fillId="0" borderId="0" xfId="9" quotePrefix="1" applyFont="1" applyFill="1" applyAlignment="1" applyProtection="1">
      <alignment horizontal="center" vertical="center"/>
    </xf>
    <xf numFmtId="0" fontId="7" fillId="11" borderId="0" xfId="0" applyFont="1" applyFill="1" applyAlignment="1">
      <alignment horizontal="left" vertical="center"/>
    </xf>
    <xf numFmtId="0" fontId="6" fillId="11" borderId="0" xfId="0" applyFont="1" applyFill="1" applyAlignment="1">
      <alignment horizontal="center" vertical="center"/>
    </xf>
    <xf numFmtId="0" fontId="6" fillId="11" borderId="48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right" vertical="center"/>
    </xf>
    <xf numFmtId="49" fontId="7" fillId="0" borderId="4" xfId="0" quotePrefix="1" applyNumberFormat="1" applyFont="1" applyBorder="1" applyAlignment="1" applyProtection="1">
      <alignment horizontal="center" vertical="center" wrapText="1"/>
      <protection locked="0"/>
    </xf>
    <xf numFmtId="49" fontId="7" fillId="0" borderId="1" xfId="0" quotePrefix="1" applyNumberFormat="1" applyFont="1" applyBorder="1" applyAlignment="1" applyProtection="1">
      <alignment horizontal="center" vertical="center" wrapText="1"/>
      <protection locked="0"/>
    </xf>
    <xf numFmtId="3" fontId="7" fillId="0" borderId="0" xfId="0" quotePrefix="1" applyNumberFormat="1" applyFont="1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4" fontId="7" fillId="8" borderId="1" xfId="3" applyNumberFormat="1" applyFont="1" applyFill="1" applyBorder="1" applyAlignment="1" applyProtection="1">
      <alignment horizontal="center" vertical="center"/>
      <protection locked="0"/>
    </xf>
    <xf numFmtId="4" fontId="7" fillId="8" borderId="1" xfId="1" applyNumberFormat="1" applyFont="1" applyFill="1" applyBorder="1" applyAlignment="1" applyProtection="1">
      <alignment horizontal="center" vertical="center"/>
      <protection locked="0"/>
    </xf>
    <xf numFmtId="169" fontId="6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7" fillId="2" borderId="9" xfId="0" applyFont="1" applyFill="1" applyBorder="1" applyAlignment="1" applyProtection="1">
      <alignment horizontal="center" vertical="center" wrapText="1"/>
      <protection locked="0"/>
    </xf>
    <xf numFmtId="0" fontId="7" fillId="2" borderId="43" xfId="0" applyFont="1" applyFill="1" applyBorder="1" applyAlignment="1" applyProtection="1">
      <alignment horizontal="center" vertical="center" wrapText="1"/>
      <protection locked="0"/>
    </xf>
    <xf numFmtId="0" fontId="7" fillId="2" borderId="10" xfId="0" applyFont="1" applyFill="1" applyBorder="1" applyAlignment="1" applyProtection="1">
      <alignment horizontal="center" vertical="center" wrapText="1"/>
      <protection locked="0"/>
    </xf>
    <xf numFmtId="0" fontId="26" fillId="16" borderId="5" xfId="0" applyFont="1" applyFill="1" applyBorder="1" applyAlignment="1">
      <alignment horizontal="center" vertical="center" wrapText="1"/>
    </xf>
    <xf numFmtId="0" fontId="26" fillId="16" borderId="8" xfId="0" applyFont="1" applyFill="1" applyBorder="1" applyAlignment="1">
      <alignment horizontal="center" vertical="center" wrapText="1"/>
    </xf>
    <xf numFmtId="0" fontId="26" fillId="16" borderId="47" xfId="0" applyFont="1" applyFill="1" applyBorder="1" applyAlignment="1">
      <alignment horizontal="center" vertical="center" wrapText="1"/>
    </xf>
    <xf numFmtId="0" fontId="26" fillId="16" borderId="48" xfId="0" applyFont="1" applyFill="1" applyBorder="1" applyAlignment="1">
      <alignment horizontal="center" vertical="center" wrapText="1"/>
    </xf>
    <xf numFmtId="0" fontId="26" fillId="16" borderId="9" xfId="0" applyFont="1" applyFill="1" applyBorder="1" applyAlignment="1">
      <alignment horizontal="center" vertical="center" wrapText="1"/>
    </xf>
    <xf numFmtId="0" fontId="26" fillId="16" borderId="10" xfId="0" applyFont="1" applyFill="1" applyBorder="1" applyAlignment="1">
      <alignment horizontal="center" vertical="center" wrapText="1"/>
    </xf>
    <xf numFmtId="168" fontId="2" fillId="0" borderId="1" xfId="0" applyNumberFormat="1" applyFont="1" applyBorder="1" applyAlignment="1" applyProtection="1">
      <alignment horizontal="center" vertical="center"/>
      <protection locked="0"/>
    </xf>
    <xf numFmtId="0" fontId="2" fillId="17" borderId="1" xfId="0" applyFont="1" applyFill="1" applyBorder="1" applyAlignment="1" applyProtection="1">
      <alignment horizontal="center" vertical="center" wrapText="1"/>
      <protection locked="0"/>
    </xf>
    <xf numFmtId="0" fontId="6" fillId="17" borderId="1" xfId="0" applyFont="1" applyFill="1" applyBorder="1" applyAlignment="1" applyProtection="1">
      <alignment horizontal="left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6" fillId="17" borderId="2" xfId="0" applyFont="1" applyFill="1" applyBorder="1" applyAlignment="1" applyProtection="1">
      <alignment horizontal="center"/>
      <protection locked="0"/>
    </xf>
    <xf numFmtId="0" fontId="6" fillId="17" borderId="3" xfId="0" applyFont="1" applyFill="1" applyBorder="1" applyAlignment="1" applyProtection="1">
      <alignment horizontal="center"/>
      <protection locked="0"/>
    </xf>
    <xf numFmtId="0" fontId="33" fillId="11" borderId="55" xfId="0" applyFont="1" applyFill="1" applyBorder="1" applyAlignment="1">
      <alignment horizontal="left" vertical="center"/>
    </xf>
    <xf numFmtId="0" fontId="33" fillId="11" borderId="12" xfId="0" applyFont="1" applyFill="1" applyBorder="1" applyAlignment="1">
      <alignment horizontal="left" vertical="center"/>
    </xf>
    <xf numFmtId="0" fontId="33" fillId="11" borderId="38" xfId="0" applyFont="1" applyFill="1" applyBorder="1" applyAlignment="1">
      <alignment horizontal="left" vertical="center"/>
    </xf>
    <xf numFmtId="49" fontId="7" fillId="2" borderId="2" xfId="0" quotePrefix="1" applyNumberFormat="1" applyFont="1" applyFill="1" applyBorder="1" applyAlignment="1" applyProtection="1">
      <alignment horizontal="center" vertical="center" wrapText="1"/>
      <protection locked="0"/>
    </xf>
    <xf numFmtId="49" fontId="7" fillId="2" borderId="3" xfId="0" quotePrefix="1" applyNumberFormat="1" applyFont="1" applyFill="1" applyBorder="1" applyAlignment="1" applyProtection="1">
      <alignment horizontal="center" vertical="center" wrapText="1"/>
      <protection locked="0"/>
    </xf>
    <xf numFmtId="49" fontId="7" fillId="2" borderId="4" xfId="0" quotePrefix="1" applyNumberFormat="1" applyFont="1" applyFill="1" applyBorder="1" applyAlignment="1" applyProtection="1">
      <alignment horizontal="center" vertical="center" wrapText="1"/>
      <protection locked="0"/>
    </xf>
    <xf numFmtId="14" fontId="2" fillId="0" borderId="1" xfId="0" quotePrefix="1" applyNumberFormat="1" applyFont="1" applyBorder="1" applyAlignment="1" applyProtection="1">
      <alignment horizontal="center" vertical="center" wrapText="1"/>
      <protection locked="0"/>
    </xf>
    <xf numFmtId="14" fontId="2" fillId="0" borderId="1" xfId="0" applyNumberFormat="1" applyFont="1" applyBorder="1" applyAlignment="1" applyProtection="1">
      <alignment horizontal="center" vertical="center" wrapText="1"/>
      <protection locked="0"/>
    </xf>
    <xf numFmtId="3" fontId="3" fillId="0" borderId="0" xfId="3" applyNumberFormat="1" applyFont="1" applyFill="1" applyBorder="1" applyAlignment="1" applyProtection="1">
      <alignment horizontal="center" vertical="center"/>
    </xf>
    <xf numFmtId="170" fontId="3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top" wrapText="1"/>
      <protection locked="0"/>
    </xf>
    <xf numFmtId="0" fontId="33" fillId="11" borderId="5" xfId="0" applyFont="1" applyFill="1" applyBorder="1" applyAlignment="1">
      <alignment horizontal="center" vertical="center" wrapText="1"/>
    </xf>
    <xf numFmtId="0" fontId="33" fillId="11" borderId="46" xfId="0" applyFont="1" applyFill="1" applyBorder="1" applyAlignment="1">
      <alignment horizontal="center" vertical="center"/>
    </xf>
    <xf numFmtId="0" fontId="33" fillId="11" borderId="47" xfId="0" applyFont="1" applyFill="1" applyBorder="1" applyAlignment="1">
      <alignment horizontal="center" vertical="center"/>
    </xf>
    <xf numFmtId="0" fontId="33" fillId="11" borderId="0" xfId="0" applyFont="1" applyFill="1" applyAlignment="1">
      <alignment horizontal="center" vertical="center"/>
    </xf>
    <xf numFmtId="0" fontId="33" fillId="11" borderId="9" xfId="0" applyFont="1" applyFill="1" applyBorder="1" applyAlignment="1">
      <alignment horizontal="center" vertical="center"/>
    </xf>
    <xf numFmtId="0" fontId="33" fillId="11" borderId="43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right" vertical="center"/>
    </xf>
    <xf numFmtId="0" fontId="7" fillId="11" borderId="3" xfId="0" applyFont="1" applyFill="1" applyBorder="1" applyAlignment="1">
      <alignment horizontal="right" vertical="center"/>
    </xf>
    <xf numFmtId="0" fontId="7" fillId="11" borderId="4" xfId="0" applyFont="1" applyFill="1" applyBorder="1" applyAlignment="1">
      <alignment horizontal="right" vertical="center"/>
    </xf>
    <xf numFmtId="4" fontId="7" fillId="8" borderId="2" xfId="3" applyNumberFormat="1" applyFont="1" applyFill="1" applyBorder="1" applyAlignment="1" applyProtection="1">
      <alignment horizontal="center" vertical="center"/>
      <protection locked="0"/>
    </xf>
    <xf numFmtId="4" fontId="7" fillId="8" borderId="4" xfId="3" applyNumberFormat="1" applyFont="1" applyFill="1" applyBorder="1" applyAlignment="1" applyProtection="1">
      <alignment horizontal="center" vertical="center"/>
      <protection locked="0"/>
    </xf>
    <xf numFmtId="0" fontId="7" fillId="11" borderId="5" xfId="0" applyFont="1" applyFill="1" applyBorder="1" applyAlignment="1">
      <alignment horizontal="right" vertical="center" wrapText="1"/>
    </xf>
    <xf numFmtId="0" fontId="7" fillId="11" borderId="46" xfId="0" applyFont="1" applyFill="1" applyBorder="1" applyAlignment="1">
      <alignment horizontal="right" vertical="center" wrapText="1"/>
    </xf>
    <xf numFmtId="0" fontId="7" fillId="11" borderId="8" xfId="0" applyFont="1" applyFill="1" applyBorder="1" applyAlignment="1">
      <alignment horizontal="right" vertical="center" wrapText="1"/>
    </xf>
    <xf numFmtId="0" fontId="7" fillId="11" borderId="9" xfId="0" applyFont="1" applyFill="1" applyBorder="1" applyAlignment="1">
      <alignment horizontal="right" vertical="center" wrapText="1"/>
    </xf>
    <xf numFmtId="0" fontId="7" fillId="11" borderId="43" xfId="0" applyFont="1" applyFill="1" applyBorder="1" applyAlignment="1">
      <alignment horizontal="right" vertical="center" wrapText="1"/>
    </xf>
    <xf numFmtId="0" fontId="7" fillId="11" borderId="10" xfId="0" applyFont="1" applyFill="1" applyBorder="1" applyAlignment="1">
      <alignment horizontal="right" vertical="center" wrapText="1"/>
    </xf>
    <xf numFmtId="0" fontId="7" fillId="11" borderId="9" xfId="0" applyFont="1" applyFill="1" applyBorder="1" applyAlignment="1">
      <alignment horizontal="right" vertical="center"/>
    </xf>
    <xf numFmtId="0" fontId="7" fillId="11" borderId="43" xfId="0" applyFont="1" applyFill="1" applyBorder="1" applyAlignment="1">
      <alignment horizontal="right" vertical="center"/>
    </xf>
    <xf numFmtId="0" fontId="7" fillId="11" borderId="10" xfId="0" applyFont="1" applyFill="1" applyBorder="1" applyAlignment="1">
      <alignment horizontal="right" vertical="center"/>
    </xf>
    <xf numFmtId="4" fontId="7" fillId="8" borderId="2" xfId="1" applyNumberFormat="1" applyFont="1" applyFill="1" applyBorder="1" applyAlignment="1" applyProtection="1">
      <alignment horizontal="center" vertical="center"/>
      <protection locked="0"/>
    </xf>
    <xf numFmtId="4" fontId="7" fillId="8" borderId="4" xfId="1" applyNumberFormat="1" applyFont="1" applyFill="1" applyBorder="1" applyAlignment="1" applyProtection="1">
      <alignment horizontal="center" vertical="center"/>
      <protection locked="0"/>
    </xf>
    <xf numFmtId="49" fontId="6" fillId="0" borderId="5" xfId="0" applyNumberFormat="1" applyFont="1" applyBorder="1" applyAlignment="1" applyProtection="1">
      <alignment horizontal="center" vertical="center"/>
      <protection locked="0"/>
    </xf>
    <xf numFmtId="49" fontId="6" fillId="0" borderId="46" xfId="0" applyNumberFormat="1" applyFont="1" applyBorder="1" applyAlignment="1" applyProtection="1">
      <alignment horizontal="center" vertical="center"/>
      <protection locked="0"/>
    </xf>
    <xf numFmtId="49" fontId="6" fillId="0" borderId="8" xfId="0" applyNumberFormat="1" applyFont="1" applyBorder="1" applyAlignment="1" applyProtection="1">
      <alignment horizontal="center" vertical="center"/>
      <protection locked="0"/>
    </xf>
    <xf numFmtId="49" fontId="6" fillId="0" borderId="47" xfId="0" applyNumberFormat="1" applyFont="1" applyBorder="1" applyAlignment="1" applyProtection="1">
      <alignment horizontal="center" vertical="center"/>
      <protection locked="0"/>
    </xf>
    <xf numFmtId="49" fontId="6" fillId="0" borderId="0" xfId="0" applyNumberFormat="1" applyFont="1" applyAlignment="1" applyProtection="1">
      <alignment horizontal="center" vertical="center"/>
      <protection locked="0"/>
    </xf>
    <xf numFmtId="49" fontId="6" fillId="0" borderId="48" xfId="0" applyNumberFormat="1" applyFont="1" applyBorder="1" applyAlignment="1" applyProtection="1">
      <alignment horizontal="center" vertical="center"/>
      <protection locked="0"/>
    </xf>
    <xf numFmtId="49" fontId="6" fillId="0" borderId="9" xfId="0" applyNumberFormat="1" applyFont="1" applyBorder="1" applyAlignment="1" applyProtection="1">
      <alignment horizontal="center" vertical="center"/>
      <protection locked="0"/>
    </xf>
    <xf numFmtId="49" fontId="6" fillId="0" borderId="43" xfId="0" applyNumberFormat="1" applyFont="1" applyBorder="1" applyAlignment="1" applyProtection="1">
      <alignment horizontal="center" vertical="center"/>
      <protection locked="0"/>
    </xf>
    <xf numFmtId="49" fontId="6" fillId="0" borderId="10" xfId="0" applyNumberFormat="1" applyFont="1" applyBorder="1" applyAlignment="1" applyProtection="1">
      <alignment horizontal="center" vertical="center"/>
      <protection locked="0"/>
    </xf>
    <xf numFmtId="0" fontId="7" fillId="11" borderId="17" xfId="0" applyFont="1" applyFill="1" applyBorder="1" applyAlignment="1">
      <alignment horizontal="right" vertical="center" wrapText="1"/>
    </xf>
    <xf numFmtId="10" fontId="6" fillId="8" borderId="17" xfId="2" applyNumberFormat="1" applyFont="1" applyFill="1" applyBorder="1" applyAlignment="1" applyProtection="1">
      <alignment horizontal="center" vertical="center" wrapText="1"/>
      <protection locked="0"/>
    </xf>
    <xf numFmtId="170" fontId="7" fillId="0" borderId="0" xfId="0" applyNumberFormat="1" applyFont="1" applyAlignment="1">
      <alignment horizontal="center" vertical="center" wrapText="1"/>
    </xf>
    <xf numFmtId="49" fontId="2" fillId="0" borderId="1" xfId="0" quotePrefix="1" applyNumberFormat="1" applyFont="1" applyBorder="1" applyAlignment="1" applyProtection="1">
      <alignment horizontal="center" vertical="center" wrapText="1"/>
      <protection locked="0"/>
    </xf>
    <xf numFmtId="0" fontId="2" fillId="0" borderId="1" xfId="0" quotePrefix="1" applyFont="1" applyBorder="1" applyAlignment="1" applyProtection="1">
      <alignment horizontal="center" vertical="center" wrapText="1"/>
      <protection locked="0"/>
    </xf>
    <xf numFmtId="1" fontId="4" fillId="0" borderId="1" xfId="0" quotePrefix="1" applyNumberFormat="1" applyFont="1" applyBorder="1" applyAlignment="1" applyProtection="1">
      <alignment horizontal="center" vertical="center" wrapText="1"/>
      <protection locked="0"/>
    </xf>
    <xf numFmtId="1" fontId="4" fillId="2" borderId="1" xfId="0" quotePrefix="1" applyNumberFormat="1" applyFont="1" applyFill="1" applyBorder="1" applyAlignment="1" applyProtection="1">
      <alignment horizontal="center" vertical="center" wrapText="1"/>
      <protection locked="0"/>
    </xf>
    <xf numFmtId="0" fontId="2" fillId="3" borderId="17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2" fontId="6" fillId="8" borderId="2" xfId="1" applyNumberFormat="1" applyFont="1" applyFill="1" applyBorder="1" applyAlignment="1" applyProtection="1">
      <alignment horizontal="center" vertical="center" wrapText="1"/>
      <protection locked="0"/>
    </xf>
    <xf numFmtId="2" fontId="6" fillId="8" borderId="4" xfId="1" applyNumberFormat="1" applyFont="1" applyFill="1" applyBorder="1" applyAlignment="1" applyProtection="1">
      <alignment horizontal="center" vertical="center" wrapText="1"/>
      <protection locked="0"/>
    </xf>
    <xf numFmtId="1" fontId="6" fillId="11" borderId="2" xfId="0" quotePrefix="1" applyNumberFormat="1" applyFont="1" applyFill="1" applyBorder="1" applyAlignment="1">
      <alignment horizontal="center" vertical="center" wrapText="1"/>
    </xf>
    <xf numFmtId="1" fontId="6" fillId="11" borderId="4" xfId="0" quotePrefix="1" applyNumberFormat="1" applyFont="1" applyFill="1" applyBorder="1" applyAlignment="1">
      <alignment horizontal="center" vertical="center" wrapText="1"/>
    </xf>
    <xf numFmtId="0" fontId="7" fillId="15" borderId="2" xfId="0" applyFont="1" applyFill="1" applyBorder="1" applyAlignment="1" applyProtection="1">
      <alignment horizontal="center" vertical="center" wrapText="1"/>
      <protection locked="0"/>
    </xf>
    <xf numFmtId="0" fontId="7" fillId="15" borderId="4" xfId="0" applyFont="1" applyFill="1" applyBorder="1" applyAlignment="1" applyProtection="1">
      <alignment horizontal="center" vertical="center" wrapText="1"/>
      <protection locked="0"/>
    </xf>
    <xf numFmtId="49" fontId="7" fillId="0" borderId="5" xfId="0" applyNumberFormat="1" applyFont="1" applyBorder="1" applyAlignment="1" applyProtection="1">
      <alignment horizontal="center" vertical="center" wrapText="1"/>
      <protection locked="0"/>
    </xf>
    <xf numFmtId="49" fontId="7" fillId="0" borderId="46" xfId="0" applyNumberFormat="1" applyFont="1" applyBorder="1" applyAlignment="1" applyProtection="1">
      <alignment horizontal="center" vertical="center" wrapText="1"/>
      <protection locked="0"/>
    </xf>
    <xf numFmtId="170" fontId="7" fillId="11" borderId="5" xfId="0" applyNumberFormat="1" applyFont="1" applyFill="1" applyBorder="1" applyAlignment="1">
      <alignment horizontal="center" vertical="center" wrapText="1"/>
    </xf>
    <xf numFmtId="170" fontId="7" fillId="11" borderId="46" xfId="0" applyNumberFormat="1" applyFont="1" applyFill="1" applyBorder="1" applyAlignment="1">
      <alignment horizontal="center" vertical="center" wrapText="1"/>
    </xf>
    <xf numFmtId="170" fontId="7" fillId="11" borderId="8" xfId="0" applyNumberFormat="1" applyFont="1" applyFill="1" applyBorder="1" applyAlignment="1">
      <alignment horizontal="center" vertical="center" wrapText="1"/>
    </xf>
    <xf numFmtId="170" fontId="7" fillId="11" borderId="9" xfId="0" applyNumberFormat="1" applyFont="1" applyFill="1" applyBorder="1" applyAlignment="1">
      <alignment horizontal="center" vertical="center" wrapText="1"/>
    </xf>
    <xf numFmtId="170" fontId="7" fillId="11" borderId="43" xfId="0" applyNumberFormat="1" applyFont="1" applyFill="1" applyBorder="1" applyAlignment="1">
      <alignment horizontal="center" vertical="center" wrapText="1"/>
    </xf>
    <xf numFmtId="170" fontId="7" fillId="11" borderId="10" xfId="0" applyNumberFormat="1" applyFont="1" applyFill="1" applyBorder="1" applyAlignment="1">
      <alignment horizontal="center" vertical="center" wrapText="1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3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0" fontId="7" fillId="11" borderId="5" xfId="0" applyFont="1" applyFill="1" applyBorder="1" applyAlignment="1">
      <alignment horizontal="center" vertical="center" wrapText="1"/>
    </xf>
    <xf numFmtId="0" fontId="7" fillId="11" borderId="46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 wrapText="1"/>
    </xf>
    <xf numFmtId="0" fontId="7" fillId="11" borderId="43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 wrapText="1"/>
    </xf>
    <xf numFmtId="1" fontId="2" fillId="0" borderId="1" xfId="0" quotePrefix="1" applyNumberFormat="1" applyFont="1" applyBorder="1" applyAlignment="1" applyProtection="1">
      <alignment horizontal="center" vertical="center" wrapText="1"/>
      <protection locked="0"/>
    </xf>
    <xf numFmtId="49" fontId="0" fillId="0" borderId="1" xfId="0" quotePrefix="1" applyNumberFormat="1" applyBorder="1" applyAlignment="1" applyProtection="1">
      <alignment horizontal="center"/>
      <protection locked="0"/>
    </xf>
    <xf numFmtId="49" fontId="0" fillId="0" borderId="1" xfId="0" applyNumberFormat="1" applyBorder="1" applyAlignment="1" applyProtection="1">
      <alignment horizontal="center"/>
      <protection locked="0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1" fontId="2" fillId="0" borderId="1" xfId="0" applyNumberFormat="1" applyFont="1" applyBorder="1" applyAlignment="1" applyProtection="1">
      <alignment horizontal="center" vertical="center" wrapText="1"/>
      <protection locked="0"/>
    </xf>
    <xf numFmtId="0" fontId="4" fillId="18" borderId="1" xfId="0" applyFont="1" applyFill="1" applyBorder="1" applyAlignment="1" applyProtection="1">
      <alignment horizontal="center" vertical="top" wrapText="1"/>
      <protection locked="0"/>
    </xf>
    <xf numFmtId="0" fontId="4" fillId="0" borderId="1" xfId="0" applyFont="1" applyBorder="1" applyAlignment="1" applyProtection="1">
      <alignment horizontal="center" vertical="top" wrapText="1"/>
      <protection locked="0"/>
    </xf>
    <xf numFmtId="0" fontId="0" fillId="0" borderId="1" xfId="0" quotePrefix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7" fillId="11" borderId="0" xfId="0" applyFont="1" applyFill="1" applyAlignment="1">
      <alignment horizontal="center" vertical="center" wrapText="1"/>
    </xf>
    <xf numFmtId="0" fontId="7" fillId="11" borderId="48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right" vertical="center" wrapText="1"/>
    </xf>
    <xf numFmtId="0" fontId="7" fillId="11" borderId="30" xfId="0" applyFont="1" applyFill="1" applyBorder="1" applyAlignment="1">
      <alignment horizontal="center" vertical="center" wrapText="1"/>
    </xf>
    <xf numFmtId="0" fontId="7" fillId="11" borderId="49" xfId="0" applyFont="1" applyFill="1" applyBorder="1" applyAlignment="1">
      <alignment horizontal="center" vertical="center" wrapText="1"/>
    </xf>
    <xf numFmtId="0" fontId="7" fillId="11" borderId="17" xfId="0" applyFont="1" applyFill="1" applyBorder="1" applyAlignment="1">
      <alignment horizontal="center" vertical="center" wrapText="1"/>
    </xf>
    <xf numFmtId="175" fontId="2" fillId="0" borderId="1" xfId="0" quotePrefix="1" applyNumberFormat="1" applyFont="1" applyBorder="1" applyAlignment="1" applyProtection="1">
      <alignment horizontal="center" vertical="center" wrapText="1"/>
      <protection locked="0"/>
    </xf>
    <xf numFmtId="0" fontId="7" fillId="11" borderId="1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right" vertical="center" wrapText="1"/>
    </xf>
    <xf numFmtId="0" fontId="7" fillId="11" borderId="4" xfId="0" applyFont="1" applyFill="1" applyBorder="1" applyAlignment="1">
      <alignment horizontal="right" vertical="center" wrapText="1"/>
    </xf>
    <xf numFmtId="168" fontId="6" fillId="11" borderId="0" xfId="0" applyNumberFormat="1" applyFont="1" applyFill="1" applyAlignment="1">
      <alignment horizontal="center" vertical="center"/>
    </xf>
    <xf numFmtId="0" fontId="2" fillId="17" borderId="1" xfId="0" applyFont="1" applyFill="1" applyBorder="1" applyAlignment="1" applyProtection="1">
      <alignment horizontal="center" vertical="center"/>
      <protection locked="0"/>
    </xf>
    <xf numFmtId="0" fontId="4" fillId="18" borderId="17" xfId="0" applyFont="1" applyFill="1" applyBorder="1" applyAlignment="1" applyProtection="1">
      <alignment horizontal="center" vertical="top" wrapText="1"/>
      <protection locked="0"/>
    </xf>
    <xf numFmtId="0" fontId="7" fillId="11" borderId="43" xfId="0" applyFont="1" applyFill="1" applyBorder="1" applyAlignment="1">
      <alignment horizontal="left" vertical="center"/>
    </xf>
    <xf numFmtId="2" fontId="6" fillId="11" borderId="0" xfId="0" applyNumberFormat="1" applyFont="1" applyFill="1" applyAlignment="1">
      <alignment horizontal="center" vertical="center"/>
    </xf>
    <xf numFmtId="2" fontId="6" fillId="11" borderId="48" xfId="0" applyNumberFormat="1" applyFont="1" applyFill="1" applyBorder="1" applyAlignment="1">
      <alignment horizontal="center" vertical="center"/>
    </xf>
    <xf numFmtId="168" fontId="6" fillId="17" borderId="2" xfId="0" applyNumberFormat="1" applyFont="1" applyFill="1" applyBorder="1" applyAlignment="1" applyProtection="1">
      <alignment horizontal="left" vertical="center"/>
      <protection locked="0"/>
    </xf>
    <xf numFmtId="168" fontId="6" fillId="17" borderId="4" xfId="0" applyNumberFormat="1" applyFont="1" applyFill="1" applyBorder="1" applyAlignment="1" applyProtection="1">
      <alignment horizontal="left" vertical="center"/>
      <protection locked="0"/>
    </xf>
    <xf numFmtId="2" fontId="2" fillId="17" borderId="1" xfId="0" applyNumberFormat="1" applyFont="1" applyFill="1" applyBorder="1" applyAlignment="1" applyProtection="1">
      <alignment horizontal="center" vertical="center"/>
      <protection locked="0"/>
    </xf>
    <xf numFmtId="2" fontId="2" fillId="0" borderId="1" xfId="0" applyNumberFormat="1" applyFont="1" applyBorder="1" applyAlignment="1" applyProtection="1">
      <alignment horizontal="center" vertical="center"/>
      <protection locked="0"/>
    </xf>
    <xf numFmtId="0" fontId="4" fillId="2" borderId="1" xfId="0" quotePrefix="1" applyFont="1" applyFill="1" applyBorder="1" applyAlignment="1" applyProtection="1">
      <alignment horizontal="center" vertical="center" wrapText="1"/>
      <protection locked="0"/>
    </xf>
    <xf numFmtId="0" fontId="7" fillId="11" borderId="47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14" fontId="7" fillId="0" borderId="4" xfId="0" quotePrefix="1" applyNumberFormat="1" applyFont="1" applyBorder="1" applyAlignment="1" applyProtection="1">
      <alignment horizontal="center" vertical="center" wrapText="1"/>
      <protection locked="0"/>
    </xf>
    <xf numFmtId="14" fontId="7" fillId="0" borderId="1" xfId="0" quotePrefix="1" applyNumberFormat="1" applyFont="1" applyBorder="1" applyAlignment="1" applyProtection="1">
      <alignment horizontal="center" vertical="center" wrapText="1"/>
      <protection locked="0"/>
    </xf>
    <xf numFmtId="0" fontId="2" fillId="0" borderId="50" xfId="0" applyFont="1" applyBorder="1" applyAlignment="1">
      <alignment horizontal="left"/>
    </xf>
    <xf numFmtId="0" fontId="2" fillId="0" borderId="51" xfId="0" applyFont="1" applyBorder="1" applyAlignment="1">
      <alignment horizontal="left"/>
    </xf>
    <xf numFmtId="0" fontId="4" fillId="0" borderId="50" xfId="0" applyFont="1" applyBorder="1" applyAlignment="1">
      <alignment horizontal="right" vertical="top"/>
    </xf>
    <xf numFmtId="0" fontId="2" fillId="0" borderId="51" xfId="0" applyFont="1" applyBorder="1" applyAlignment="1">
      <alignment horizontal="right" vertical="top"/>
    </xf>
    <xf numFmtId="0" fontId="2" fillId="0" borderId="52" xfId="0" applyFont="1" applyBorder="1" applyAlignment="1">
      <alignment horizontal="right" vertical="top"/>
    </xf>
    <xf numFmtId="0" fontId="25" fillId="6" borderId="0" xfId="0" applyFont="1" applyFill="1" applyAlignment="1">
      <alignment horizontal="center" vertical="center"/>
    </xf>
    <xf numFmtId="0" fontId="17" fillId="0" borderId="0" xfId="13" applyFont="1" applyAlignment="1">
      <alignment horizontal="center"/>
    </xf>
    <xf numFmtId="0" fontId="28" fillId="0" borderId="0" xfId="13" applyFont="1" applyAlignment="1">
      <alignment horizontal="center"/>
    </xf>
    <xf numFmtId="0" fontId="19" fillId="0" borderId="0" xfId="13" applyFont="1" applyAlignment="1">
      <alignment horizontal="left" wrapText="1"/>
    </xf>
    <xf numFmtId="0" fontId="0" fillId="5" borderId="0" xfId="0" applyFill="1" applyAlignment="1">
      <alignment horizontal="center" vertical="center"/>
    </xf>
    <xf numFmtId="0" fontId="0" fillId="13" borderId="11" xfId="0" applyFill="1" applyBorder="1" applyAlignment="1">
      <alignment horizontal="right"/>
    </xf>
    <xf numFmtId="0" fontId="0" fillId="13" borderId="38" xfId="0" applyFill="1" applyBorder="1" applyAlignment="1">
      <alignment horizontal="right"/>
    </xf>
    <xf numFmtId="0" fontId="0" fillId="12" borderId="0" xfId="0" applyFill="1" applyAlignment="1">
      <alignment horizontal="center" wrapText="1"/>
    </xf>
    <xf numFmtId="0" fontId="0" fillId="12" borderId="43" xfId="0" applyFill="1" applyBorder="1" applyAlignment="1">
      <alignment horizontal="center" wrapText="1"/>
    </xf>
    <xf numFmtId="0" fontId="0" fillId="14" borderId="0" xfId="0" applyFill="1" applyAlignment="1">
      <alignment horizontal="center" wrapText="1"/>
    </xf>
    <xf numFmtId="0" fontId="0" fillId="14" borderId="43" xfId="0" applyFill="1" applyBorder="1" applyAlignment="1">
      <alignment horizontal="center" wrapText="1"/>
    </xf>
    <xf numFmtId="0" fontId="0" fillId="13" borderId="0" xfId="0" applyFill="1" applyAlignment="1">
      <alignment horizontal="center" wrapText="1"/>
    </xf>
    <xf numFmtId="0" fontId="0" fillId="13" borderId="43" xfId="0" applyFill="1" applyBorder="1" applyAlignment="1">
      <alignment horizontal="center" wrapText="1"/>
    </xf>
    <xf numFmtId="0" fontId="0" fillId="13" borderId="41" xfId="0" applyFill="1" applyBorder="1" applyAlignment="1">
      <alignment horizontal="right"/>
    </xf>
    <xf numFmtId="0" fontId="0" fillId="13" borderId="4" xfId="0" applyFill="1" applyBorder="1" applyAlignment="1">
      <alignment horizontal="right"/>
    </xf>
    <xf numFmtId="0" fontId="0" fillId="13" borderId="42" xfId="0" applyFill="1" applyBorder="1" applyAlignment="1">
      <alignment horizontal="right"/>
    </xf>
    <xf numFmtId="0" fontId="0" fillId="13" borderId="25" xfId="0" applyFill="1" applyBorder="1" applyAlignment="1">
      <alignment horizontal="righ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14" borderId="0" xfId="0" applyFill="1" applyAlignment="1">
      <alignment horizontal="center" vertical="top" wrapText="1"/>
    </xf>
    <xf numFmtId="0" fontId="0" fillId="12" borderId="0" xfId="0" applyFill="1" applyAlignment="1">
      <alignment horizontal="center" vertical="top" wrapText="1"/>
    </xf>
    <xf numFmtId="0" fontId="0" fillId="13" borderId="0" xfId="0" applyFill="1" applyAlignment="1">
      <alignment horizontal="center" vertical="top" wrapText="1"/>
    </xf>
    <xf numFmtId="0" fontId="0" fillId="11" borderId="1" xfId="0" applyFill="1" applyBorder="1" applyAlignment="1" applyProtection="1">
      <alignment horizontal="left" vertical="center"/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21" xfId="0" applyBorder="1" applyAlignment="1" applyProtection="1">
      <alignment horizontal="center"/>
      <protection locked="0"/>
    </xf>
    <xf numFmtId="0" fontId="0" fillId="0" borderId="28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44" xfId="0" applyBorder="1" applyAlignment="1" applyProtection="1">
      <alignment horizontal="center"/>
      <protection locked="0"/>
    </xf>
    <xf numFmtId="0" fontId="0" fillId="0" borderId="32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45" xfId="0" applyBorder="1" applyAlignment="1" applyProtection="1">
      <alignment horizontal="center"/>
      <protection locked="0"/>
    </xf>
    <xf numFmtId="0" fontId="0" fillId="11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5" fillId="0" borderId="14" xfId="0" applyFont="1" applyBorder="1" applyAlignment="1">
      <alignment horizontal="center" vertical="top"/>
    </xf>
    <xf numFmtId="0" fontId="15" fillId="0" borderId="1" xfId="0" applyFont="1" applyBorder="1" applyAlignment="1">
      <alignment horizontal="center" vertical="top"/>
    </xf>
    <xf numFmtId="0" fontId="19" fillId="0" borderId="0" xfId="0" applyFont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8" fillId="0" borderId="28" xfId="15" applyFont="1" applyBorder="1" applyAlignment="1">
      <alignment vertical="center" wrapText="1"/>
    </xf>
    <xf numFmtId="0" fontId="8" fillId="0" borderId="32" xfId="15" applyFont="1" applyBorder="1" applyAlignment="1">
      <alignment vertical="center" wrapText="1"/>
    </xf>
    <xf numFmtId="0" fontId="8" fillId="0" borderId="19" xfId="15" applyFont="1" applyBorder="1" applyAlignment="1">
      <alignment vertical="center" wrapText="1"/>
    </xf>
    <xf numFmtId="0" fontId="8" fillId="0" borderId="36" xfId="15" applyFont="1" applyBorder="1" applyAlignment="1">
      <alignment vertical="center" wrapText="1"/>
    </xf>
    <xf numFmtId="0" fontId="8" fillId="0" borderId="37" xfId="15" applyFont="1" applyBorder="1" applyAlignment="1">
      <alignment vertical="center" wrapText="1"/>
    </xf>
  </cellXfs>
  <cellStyles count="16">
    <cellStyle name="Comma" xfId="1" builtinId="3"/>
    <cellStyle name="Currency" xfId="10" builtinId="4"/>
    <cellStyle name="Hyperlink" xfId="11" builtinId="8"/>
    <cellStyle name="Komma 2" xfId="3" xr:uid="{00000000-0005-0000-0000-000003000000}"/>
    <cellStyle name="Komma 2 2" xfId="4" xr:uid="{00000000-0005-0000-0000-000004000000}"/>
    <cellStyle name="Normal" xfId="0" builtinId="0"/>
    <cellStyle name="Normal 2" xfId="6" xr:uid="{00000000-0005-0000-0000-000006000000}"/>
    <cellStyle name="Normal 3" xfId="15" xr:uid="{A2642364-A172-49F5-9B40-09098FFE37E0}"/>
    <cellStyle name="Percent" xfId="2" builtinId="5"/>
    <cellStyle name="Prozent 2" xfId="8" xr:uid="{00000000-0005-0000-0000-000008000000}"/>
    <cellStyle name="Standard 2" xfId="7" xr:uid="{00000000-0005-0000-0000-000009000000}"/>
    <cellStyle name="Standard 3" xfId="9" xr:uid="{00000000-0005-0000-0000-00000A000000}"/>
    <cellStyle name="Standard 4" xfId="12" xr:uid="{00000000-0005-0000-0000-00000B000000}"/>
    <cellStyle name="Standard 5" xfId="13" xr:uid="{7C6C95E2-92C5-483B-935B-9D34D8092F59}"/>
    <cellStyle name="Standard 6" xfId="14" xr:uid="{FED423BD-A915-4100-9B9A-896E8E466395}"/>
    <cellStyle name="Währung 2" xfId="5" xr:uid="{00000000-0005-0000-0000-00000C000000}"/>
  </cellStyles>
  <dxfs count="10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rgb="FF86CF2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BC5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00B050"/>
      </font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00B050"/>
      </font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rgb="FF00B050"/>
      </font>
    </dxf>
    <dxf>
      <font>
        <color rgb="FFFF0000"/>
      </font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00B050"/>
      </font>
    </dxf>
    <dxf>
      <font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00B05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00B05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rgb="FF00B050"/>
      </font>
    </dxf>
    <dxf>
      <font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rgb="FF00B050"/>
      </font>
    </dxf>
    <dxf>
      <font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rgb="FF00B050"/>
      </font>
    </dxf>
    <dxf>
      <font>
        <color rgb="FFFF0000"/>
      </font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theme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F2CC"/>
      <color rgb="FF4454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22/10/relationships/richValueRel" Target="richData/richValueRel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Relationship Id="rId27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85725</xdr:rowOff>
    </xdr:from>
    <xdr:to>
      <xdr:col>4</xdr:col>
      <xdr:colOff>428625</xdr:colOff>
      <xdr:row>3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82A0D0-D266-43DE-8110-F5C8D06CF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85725"/>
          <a:ext cx="25908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0</xdr:row>
      <xdr:rowOff>242455</xdr:rowOff>
    </xdr:from>
    <xdr:to>
      <xdr:col>6</xdr:col>
      <xdr:colOff>772969</xdr:colOff>
      <xdr:row>0</xdr:row>
      <xdr:rowOff>660541</xdr:rowOff>
    </xdr:to>
    <xdr:pic>
      <xdr:nvPicPr>
        <xdr:cNvPr id="2" name="Picture 7">
          <a:extLst>
            <a:ext uri="{FF2B5EF4-FFF2-40B4-BE49-F238E27FC236}">
              <a16:creationId xmlns:a16="http://schemas.microsoft.com/office/drawing/2014/main" id="{5B9C038E-A1D2-4883-B316-E507C7E5E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1975" y="242455"/>
          <a:ext cx="1944544" cy="41808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thersongroup-my.sharepoint.com/personal/felix_mueller_motherson_com/Documents/BID%20Approval%20document/02%20Comparison%20Sheet%20Cyclic%20Corrosion%20Tester%20C1%20S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plier Classification"/>
      <sheetName val="CAPEX Comparison Sheet"/>
      <sheetName val="Prefered Supplier"/>
      <sheetName val="Second Source"/>
      <sheetName val="Third Source"/>
    </sheetNames>
    <sheetDataSet>
      <sheetData sheetId="0"/>
      <sheetData sheetId="1"/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ueller, Felix (SMP)" id="{F52E0C06-69FE-413E-8A46-48AA526D0890}" userId="S::Felix.Mueller@motherson.com::bce76c60-25f3-417d-a22a-b54aeb3fe49b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6" dT="2025-09-25T08:01:04.00" personId="{F52E0C06-69FE-413E-8A46-48AA526D0890}" id="{4DB85D1F-BAC2-4022-A81D-5A023F5E1A36}">
    <text>Not mandatory - GSP will add once RAS got started</text>
  </threadedComment>
  <threadedComment ref="B27" dT="2025-05-16T16:19:22.57" personId="{F52E0C06-69FE-413E-8A46-48AA526D0890}" id="{4892B19E-E588-4C16-BED7-3CB97EAE3077}">
    <text>Fill sheets supp x risk for each supplier if you want to have this comparison</text>
  </threadedComment>
  <threadedComment ref="B33" dT="2025-09-25T08:06:51.79" personId="{F52E0C06-69FE-413E-8A46-48AA526D0890}" id="{BCF2E923-3CA9-4A48-AFF7-81665EFAC37C}">
    <text>If you add a row - copy formula from J30 to new cell in added row in column J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themoneyconverter.com/DE" TargetMode="External"/><Relationship Id="rId1" Type="http://schemas.openxmlformats.org/officeDocument/2006/relationships/hyperlink" Target="https://bankenverband.de/service/waehrungsrechner/table/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9"/>
  <sheetViews>
    <sheetView workbookViewId="0">
      <selection activeCell="F29" sqref="F29"/>
    </sheetView>
  </sheetViews>
  <sheetFormatPr defaultColWidth="11.453125" defaultRowHeight="14.5" x14ac:dyDescent="0.35"/>
  <cols>
    <col min="1" max="1" width="3.26953125" style="211" customWidth="1"/>
    <col min="2" max="2" width="20" bestFit="1" customWidth="1"/>
    <col min="3" max="3" width="16.54296875" bestFit="1" customWidth="1"/>
    <col min="4" max="4" width="14.81640625" customWidth="1"/>
    <col min="6" max="6" width="14.26953125" customWidth="1"/>
    <col min="8" max="9" width="11.453125" customWidth="1"/>
    <col min="10" max="10" width="14.1796875" customWidth="1"/>
    <col min="24" max="24" width="14" bestFit="1" customWidth="1"/>
    <col min="25" max="25" width="13.7265625" bestFit="1" customWidth="1"/>
  </cols>
  <sheetData>
    <row r="1" spans="1:25" x14ac:dyDescent="0.35">
      <c r="D1" t="s">
        <v>1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Q1" t="s">
        <v>2</v>
      </c>
      <c r="S1" t="s">
        <v>1</v>
      </c>
      <c r="T1" t="s">
        <v>1</v>
      </c>
      <c r="U1" t="s">
        <v>1</v>
      </c>
      <c r="V1" t="s">
        <v>2</v>
      </c>
      <c r="W1" t="s">
        <v>2</v>
      </c>
      <c r="X1" t="s">
        <v>2</v>
      </c>
      <c r="Y1" t="s">
        <v>2</v>
      </c>
    </row>
    <row r="2" spans="1:25" x14ac:dyDescent="0.35">
      <c r="A2" s="211">
        <v>0</v>
      </c>
      <c r="B2" s="212" t="s">
        <v>3</v>
      </c>
      <c r="C2" s="212" t="s">
        <v>4</v>
      </c>
      <c r="D2" s="212" t="s">
        <v>5</v>
      </c>
      <c r="E2" s="212" t="s">
        <v>6</v>
      </c>
      <c r="F2" s="212" t="s">
        <v>7</v>
      </c>
      <c r="G2" s="212" t="s">
        <v>8</v>
      </c>
      <c r="H2" s="212" t="s">
        <v>9</v>
      </c>
      <c r="I2" s="212" t="s">
        <v>10</v>
      </c>
      <c r="J2" s="212" t="s">
        <v>11</v>
      </c>
      <c r="K2" s="212" t="s">
        <v>12</v>
      </c>
      <c r="L2" s="212" t="s">
        <v>13</v>
      </c>
      <c r="M2" s="212" t="s">
        <v>14</v>
      </c>
      <c r="N2" s="212" t="s">
        <v>12</v>
      </c>
      <c r="O2" s="212" t="s">
        <v>13</v>
      </c>
      <c r="P2" s="212" t="s">
        <v>14</v>
      </c>
      <c r="Q2" s="212" t="s">
        <v>15</v>
      </c>
      <c r="R2" s="212" t="s">
        <v>15</v>
      </c>
      <c r="S2" s="212" t="s">
        <v>16</v>
      </c>
      <c r="T2" s="212" t="s">
        <v>17</v>
      </c>
      <c r="U2" s="212" t="s">
        <v>18</v>
      </c>
      <c r="V2" s="212" t="s">
        <v>19</v>
      </c>
      <c r="W2" s="212" t="s">
        <v>20</v>
      </c>
      <c r="X2" s="212" t="s">
        <v>21</v>
      </c>
      <c r="Y2" s="212" t="s">
        <v>5</v>
      </c>
    </row>
    <row r="3" spans="1:25" x14ac:dyDescent="0.35">
      <c r="A3" s="211">
        <v>2</v>
      </c>
      <c r="B3" s="212" t="str">
        <f>'1. MPBC'!G10</f>
        <v>Supplier 1</v>
      </c>
      <c r="C3" s="213">
        <f>'1. MPBC'!G28</f>
        <v>0</v>
      </c>
      <c r="D3" s="212" t="str">
        <f>IFERROR(IF(U3="",IF(T3="",S3,T3),U3),"")</f>
        <v/>
      </c>
      <c r="E3" s="213" t="str">
        <f>'1. MPBC'!I20</f>
        <v>&lt;--  select country</v>
      </c>
      <c r="F3" s="213">
        <f>'1. MPBC'!$D$28</f>
        <v>0</v>
      </c>
      <c r="G3" s="214" t="str">
        <f>'1. MPBC'!I40</f>
        <v/>
      </c>
      <c r="H3" s="214" t="str">
        <f>'1. MPBC'!G39</f>
        <v/>
      </c>
      <c r="I3" s="214" t="str">
        <f>'1. MPBC'!H39</f>
        <v/>
      </c>
      <c r="J3" s="214" t="str">
        <f>'1. MPBC'!I39</f>
        <v/>
      </c>
      <c r="K3" s="214" t="str">
        <f>IF(J3=0,"",IFERROR(H3-J3,""))</f>
        <v/>
      </c>
      <c r="L3" s="214" t="str">
        <f>IF(I3=0,"",IFERROR(H3-I3,""))</f>
        <v/>
      </c>
      <c r="M3" s="214" t="str">
        <f>IF(J3=0,"",IFERROR(I3-J3,""))</f>
        <v/>
      </c>
      <c r="N3" s="215" t="str">
        <f>IFERROR(K3/H3,"")</f>
        <v/>
      </c>
      <c r="O3" s="215" t="str">
        <f>IFERROR(L3/H3,"")</f>
        <v/>
      </c>
      <c r="P3" s="215" t="str">
        <f>IFERROR(M3/I3,"")</f>
        <v/>
      </c>
      <c r="Q3" s="63" t="str">
        <f>IFERROR($C$14-J3,"")</f>
        <v/>
      </c>
      <c r="R3" s="215" t="str">
        <f>IFERROR(Q3/$C$14,"")</f>
        <v/>
      </c>
      <c r="S3" s="214" t="str">
        <f>'1. MPBC'!G38</f>
        <v/>
      </c>
      <c r="T3" s="214" t="str">
        <f>'1. MPBC'!H38</f>
        <v/>
      </c>
      <c r="U3" s="214" t="str">
        <f>'1. MPBC'!I38</f>
        <v/>
      </c>
      <c r="V3" s="214" t="str">
        <f>'1. MPBC'!G40</f>
        <v/>
      </c>
      <c r="W3" s="214" t="str">
        <f>'1. MPBC'!H40</f>
        <v/>
      </c>
      <c r="X3" s="214" t="str">
        <f>IFERROR(IF(G3="",IF(W3="",V3,W3),G3),"")</f>
        <v/>
      </c>
      <c r="Y3" s="214" t="str">
        <f>IFERROR(IF(J3="",IF(I3="",H3,I3),J3),"")</f>
        <v/>
      </c>
    </row>
    <row r="4" spans="1:25" x14ac:dyDescent="0.35">
      <c r="A4" s="211">
        <v>0</v>
      </c>
      <c r="B4" s="212" t="str">
        <f>'1. MPBC'!K10</f>
        <v>Supplier 2</v>
      </c>
      <c r="C4" s="213">
        <f>'1. MPBC'!K28</f>
        <v>0</v>
      </c>
      <c r="D4" s="212" t="str">
        <f t="shared" ref="D4:D12" si="0">IFERROR(IF(U4="",IF(T4="",S4,T4),U4),"")</f>
        <v/>
      </c>
      <c r="E4" s="213" t="str">
        <f>'1. MPBC'!M20</f>
        <v>&lt;--  select country</v>
      </c>
      <c r="F4" s="213">
        <f>'1. MPBC'!$D$28</f>
        <v>0</v>
      </c>
      <c r="G4" s="214" t="str">
        <f>'1. MPBC'!M40</f>
        <v/>
      </c>
      <c r="H4" s="214" t="str">
        <f>'1. MPBC'!K39</f>
        <v/>
      </c>
      <c r="I4" s="214" t="str">
        <f>'1. MPBC'!L39</f>
        <v/>
      </c>
      <c r="J4" s="214" t="str">
        <f>'1. MPBC'!M39</f>
        <v/>
      </c>
      <c r="K4" s="214" t="str">
        <f t="shared" ref="K4:K12" si="1">IF(J4=0,"",IFERROR(H4-J4,""))</f>
        <v/>
      </c>
      <c r="L4" s="214" t="str">
        <f t="shared" ref="L4:L12" si="2">IF(I4=0,"",IFERROR(H4-I4,""))</f>
        <v/>
      </c>
      <c r="M4" s="214" t="str">
        <f t="shared" ref="M4:M12" si="3">IF(J4=0,"",IFERROR(I4-J4,""))</f>
        <v/>
      </c>
      <c r="N4" s="215" t="str">
        <f t="shared" ref="N4:N12" si="4">IFERROR(K4/H4,"")</f>
        <v/>
      </c>
      <c r="O4" s="215" t="str">
        <f t="shared" ref="O4:O12" si="5">IFERROR(L4/H4,"")</f>
        <v/>
      </c>
      <c r="P4" s="215" t="str">
        <f t="shared" ref="P4:P12" si="6">IFERROR(M4/I4,"")</f>
        <v/>
      </c>
      <c r="Q4" s="63" t="str">
        <f t="shared" ref="Q4:Q12" si="7">IFERROR($C$14-J4,"")</f>
        <v/>
      </c>
      <c r="R4" s="215" t="str">
        <f t="shared" ref="R4:R12" si="8">IFERROR(Q4/$C$14,"")</f>
        <v/>
      </c>
      <c r="S4" s="214" t="str">
        <f>'1. MPBC'!K38</f>
        <v/>
      </c>
      <c r="T4" s="214" t="str">
        <f>'1. MPBC'!L38</f>
        <v/>
      </c>
      <c r="U4" s="214" t="str">
        <f>'1. MPBC'!M38</f>
        <v/>
      </c>
      <c r="V4" s="214" t="str">
        <f>'1. MPBC'!K40</f>
        <v/>
      </c>
      <c r="W4" s="214" t="str">
        <f>'1. MPBC'!L40</f>
        <v/>
      </c>
      <c r="X4" s="214" t="str">
        <f t="shared" ref="X4:X12" si="9">IFERROR(IF(G4="",IF(W4="",V4,W4),G4),"")</f>
        <v/>
      </c>
      <c r="Y4" s="214" t="str">
        <f t="shared" ref="Y4:Y12" si="10">IFERROR(IF(J4="",IF(I4="",H4,I4),J4),"")</f>
        <v/>
      </c>
    </row>
    <row r="5" spans="1:25" x14ac:dyDescent="0.35">
      <c r="A5" s="211">
        <v>9</v>
      </c>
      <c r="B5" s="212" t="str">
        <f>'1. MPBC'!O10</f>
        <v>Supplier 3</v>
      </c>
      <c r="C5" s="213">
        <f>'1. MPBC'!O28</f>
        <v>0</v>
      </c>
      <c r="D5" s="212" t="str">
        <f t="shared" si="0"/>
        <v/>
      </c>
      <c r="E5" s="213" t="str">
        <f>'1. MPBC'!Q20</f>
        <v>&lt;--  select country</v>
      </c>
      <c r="F5" s="213">
        <f>'1. MPBC'!$D$28</f>
        <v>0</v>
      </c>
      <c r="G5" s="214" t="str">
        <f>'1. MPBC'!Q40</f>
        <v/>
      </c>
      <c r="H5" s="214" t="str">
        <f>'1. MPBC'!O39</f>
        <v/>
      </c>
      <c r="I5" s="214" t="str">
        <f>'1. MPBC'!P39</f>
        <v/>
      </c>
      <c r="J5" s="214" t="str">
        <f>'1. MPBC'!Q39</f>
        <v/>
      </c>
      <c r="K5" s="214" t="str">
        <f t="shared" si="1"/>
        <v/>
      </c>
      <c r="L5" s="214" t="str">
        <f t="shared" si="2"/>
        <v/>
      </c>
      <c r="M5" s="214" t="str">
        <f t="shared" si="3"/>
        <v/>
      </c>
      <c r="N5" s="215" t="str">
        <f t="shared" si="4"/>
        <v/>
      </c>
      <c r="O5" s="215" t="str">
        <f t="shared" si="5"/>
        <v/>
      </c>
      <c r="P5" s="215" t="str">
        <f t="shared" si="6"/>
        <v/>
      </c>
      <c r="Q5" s="63" t="str">
        <f t="shared" si="7"/>
        <v/>
      </c>
      <c r="R5" s="215" t="str">
        <f t="shared" si="8"/>
        <v/>
      </c>
      <c r="S5" s="214" t="str">
        <f>'1. MPBC'!O38</f>
        <v/>
      </c>
      <c r="T5" s="214" t="str">
        <f>'1. MPBC'!P38</f>
        <v/>
      </c>
      <c r="U5" s="214" t="str">
        <f>'1. MPBC'!Q38</f>
        <v/>
      </c>
      <c r="V5" s="214" t="str">
        <f>'1. MPBC'!O40</f>
        <v/>
      </c>
      <c r="W5" s="214" t="str">
        <f>'1. MPBC'!P40</f>
        <v/>
      </c>
      <c r="X5" s="214" t="str">
        <f t="shared" si="9"/>
        <v/>
      </c>
      <c r="Y5" s="214" t="str">
        <f t="shared" si="10"/>
        <v/>
      </c>
    </row>
    <row r="6" spans="1:25" x14ac:dyDescent="0.35">
      <c r="A6" s="211">
        <v>2</v>
      </c>
      <c r="B6" s="212" t="str">
        <f>'1. MPBC'!W10</f>
        <v>Supplier 4</v>
      </c>
      <c r="C6" s="213">
        <f>'1. MPBC'!W28</f>
        <v>0</v>
      </c>
      <c r="D6" s="212" t="str">
        <f t="shared" si="0"/>
        <v/>
      </c>
      <c r="E6" s="213" t="str">
        <f>'1. MPBC'!Y20</f>
        <v>&lt;--  select country</v>
      </c>
      <c r="F6" s="213">
        <f>'1. MPBC'!$D$28</f>
        <v>0</v>
      </c>
      <c r="G6" s="214" t="str">
        <f>'1. MPBC'!Y40</f>
        <v/>
      </c>
      <c r="H6" s="214" t="str">
        <f>'1. MPBC'!W39</f>
        <v/>
      </c>
      <c r="I6" s="214" t="str">
        <f>'1. MPBC'!X39</f>
        <v/>
      </c>
      <c r="J6" s="214" t="str">
        <f>'1. MPBC'!Y39</f>
        <v/>
      </c>
      <c r="K6" s="214" t="str">
        <f t="shared" si="1"/>
        <v/>
      </c>
      <c r="L6" s="214" t="str">
        <f t="shared" si="2"/>
        <v/>
      </c>
      <c r="M6" s="214" t="str">
        <f t="shared" si="3"/>
        <v/>
      </c>
      <c r="N6" s="215" t="str">
        <f t="shared" si="4"/>
        <v/>
      </c>
      <c r="O6" s="215" t="str">
        <f t="shared" si="5"/>
        <v/>
      </c>
      <c r="P6" s="215" t="str">
        <f t="shared" si="6"/>
        <v/>
      </c>
      <c r="Q6" s="63" t="str">
        <f t="shared" si="7"/>
        <v/>
      </c>
      <c r="R6" s="215" t="str">
        <f t="shared" si="8"/>
        <v/>
      </c>
      <c r="S6" s="214" t="str">
        <f>'1. MPBC'!W38</f>
        <v/>
      </c>
      <c r="T6" s="214" t="str">
        <f>'1. MPBC'!X38</f>
        <v/>
      </c>
      <c r="U6" s="214" t="str">
        <f>'1. MPBC'!Y38</f>
        <v/>
      </c>
      <c r="V6" s="214" t="str">
        <f>'1. MPBC'!W40</f>
        <v/>
      </c>
      <c r="W6" s="214" t="str">
        <f>'1. MPBC'!X40</f>
        <v/>
      </c>
      <c r="X6" s="214" t="str">
        <f t="shared" si="9"/>
        <v/>
      </c>
      <c r="Y6" s="214" t="str">
        <f t="shared" si="10"/>
        <v/>
      </c>
    </row>
    <row r="7" spans="1:25" x14ac:dyDescent="0.35">
      <c r="A7" s="211">
        <v>0</v>
      </c>
      <c r="B7" s="212" t="str">
        <f>'1. MPBC'!AA10</f>
        <v>Supplier 5</v>
      </c>
      <c r="C7" s="213">
        <f>'1. MPBC'!AA28</f>
        <v>0</v>
      </c>
      <c r="D7" s="212" t="str">
        <f t="shared" si="0"/>
        <v/>
      </c>
      <c r="E7" s="213" t="str">
        <f>'1. MPBC'!AC20</f>
        <v>&lt;--  select country</v>
      </c>
      <c r="F7" s="213">
        <f>'1. MPBC'!$D$28</f>
        <v>0</v>
      </c>
      <c r="G7" s="214" t="str">
        <f>'1. MPBC'!AC40</f>
        <v/>
      </c>
      <c r="H7" s="214" t="str">
        <f>'1. MPBC'!AA39</f>
        <v/>
      </c>
      <c r="I7" s="214" t="str">
        <f>'1. MPBC'!AB39</f>
        <v/>
      </c>
      <c r="J7" s="214" t="str">
        <f>'1. MPBC'!AC39</f>
        <v/>
      </c>
      <c r="K7" s="214" t="str">
        <f t="shared" si="1"/>
        <v/>
      </c>
      <c r="L7" s="214" t="str">
        <f t="shared" si="2"/>
        <v/>
      </c>
      <c r="M7" s="214" t="str">
        <f t="shared" si="3"/>
        <v/>
      </c>
      <c r="N7" s="215" t="str">
        <f t="shared" si="4"/>
        <v/>
      </c>
      <c r="O7" s="215" t="str">
        <f t="shared" si="5"/>
        <v/>
      </c>
      <c r="P7" s="215" t="str">
        <f t="shared" si="6"/>
        <v/>
      </c>
      <c r="Q7" s="63" t="str">
        <f t="shared" si="7"/>
        <v/>
      </c>
      <c r="R7" s="215" t="str">
        <f t="shared" si="8"/>
        <v/>
      </c>
      <c r="S7" s="214" t="str">
        <f>'1. MPBC'!AA38</f>
        <v/>
      </c>
      <c r="T7" s="214" t="str">
        <f>'1. MPBC'!AB38</f>
        <v/>
      </c>
      <c r="U7" s="214" t="str">
        <f>'1. MPBC'!AC38</f>
        <v/>
      </c>
      <c r="V7" s="214" t="str">
        <f>'1. MPBC'!AA40</f>
        <v/>
      </c>
      <c r="W7" s="214" t="str">
        <f>'1. MPBC'!AB40</f>
        <v/>
      </c>
      <c r="X7" s="214" t="str">
        <f t="shared" si="9"/>
        <v/>
      </c>
      <c r="Y7" s="214" t="str">
        <f t="shared" si="10"/>
        <v/>
      </c>
    </row>
    <row r="8" spans="1:25" x14ac:dyDescent="0.35">
      <c r="A8" s="211">
        <v>2</v>
      </c>
      <c r="B8" s="212" t="str">
        <f>'1. MPBC'!AE10</f>
        <v>Supplier 6</v>
      </c>
      <c r="C8" s="213">
        <f>'1. MPBC'!AE28</f>
        <v>0</v>
      </c>
      <c r="D8" s="212" t="str">
        <f t="shared" si="0"/>
        <v/>
      </c>
      <c r="E8" s="213" t="str">
        <f>'1. MPBC'!AG20</f>
        <v>&lt;--  select country</v>
      </c>
      <c r="F8" s="213">
        <f>'1. MPBC'!$D$28</f>
        <v>0</v>
      </c>
      <c r="G8" s="214" t="str">
        <f>'1. MPBC'!AG40</f>
        <v/>
      </c>
      <c r="H8" s="214" t="str">
        <f>'1. MPBC'!AE39</f>
        <v/>
      </c>
      <c r="I8" s="214" t="str">
        <f>'1. MPBC'!AF39</f>
        <v/>
      </c>
      <c r="J8" s="214" t="str">
        <f>'1. MPBC'!AG39</f>
        <v/>
      </c>
      <c r="K8" s="214" t="str">
        <f t="shared" si="1"/>
        <v/>
      </c>
      <c r="L8" s="214" t="str">
        <f t="shared" si="2"/>
        <v/>
      </c>
      <c r="M8" s="214" t="str">
        <f t="shared" si="3"/>
        <v/>
      </c>
      <c r="N8" s="215" t="str">
        <f t="shared" si="4"/>
        <v/>
      </c>
      <c r="O8" s="215" t="str">
        <f t="shared" si="5"/>
        <v/>
      </c>
      <c r="P8" s="215" t="str">
        <f t="shared" si="6"/>
        <v/>
      </c>
      <c r="Q8" s="63" t="str">
        <f t="shared" si="7"/>
        <v/>
      </c>
      <c r="R8" s="215" t="str">
        <f t="shared" si="8"/>
        <v/>
      </c>
      <c r="S8" s="214" t="str">
        <f>'1. MPBC'!AE38</f>
        <v/>
      </c>
      <c r="T8" s="214" t="str">
        <f>'1. MPBC'!AF38</f>
        <v/>
      </c>
      <c r="U8" s="214" t="str">
        <f>'1. MPBC'!AG38</f>
        <v/>
      </c>
      <c r="V8" s="214" t="str">
        <f>'1. MPBC'!AE40</f>
        <v/>
      </c>
      <c r="W8" s="214" t="str">
        <f>'1. MPBC'!AF40</f>
        <v/>
      </c>
      <c r="X8" s="214" t="str">
        <f t="shared" si="9"/>
        <v/>
      </c>
      <c r="Y8" s="214" t="str">
        <f t="shared" si="10"/>
        <v/>
      </c>
    </row>
    <row r="9" spans="1:25" x14ac:dyDescent="0.35">
      <c r="A9" s="211">
        <v>5</v>
      </c>
      <c r="B9" s="212" t="str">
        <f>'1. MPBC'!AI10</f>
        <v>Supplier 7</v>
      </c>
      <c r="C9" s="213">
        <f>'1. MPBC'!AI28</f>
        <v>0</v>
      </c>
      <c r="D9" s="212" t="str">
        <f t="shared" si="0"/>
        <v/>
      </c>
      <c r="E9" s="213" t="str">
        <f>'1. MPBC'!AK20</f>
        <v>&lt;--  select country</v>
      </c>
      <c r="F9" s="213">
        <f>'1. MPBC'!$D$28</f>
        <v>0</v>
      </c>
      <c r="G9" s="214" t="str">
        <f>'1. MPBC'!AK40</f>
        <v/>
      </c>
      <c r="H9" s="214" t="str">
        <f>'1. MPBC'!AI39</f>
        <v/>
      </c>
      <c r="I9" s="214" t="str">
        <f>'1. MPBC'!AJ39</f>
        <v/>
      </c>
      <c r="J9" s="214" t="str">
        <f>'1. MPBC'!AK39</f>
        <v/>
      </c>
      <c r="K9" s="214" t="str">
        <f t="shared" si="1"/>
        <v/>
      </c>
      <c r="L9" s="214" t="str">
        <f t="shared" si="2"/>
        <v/>
      </c>
      <c r="M9" s="214" t="str">
        <f t="shared" si="3"/>
        <v/>
      </c>
      <c r="N9" s="215" t="str">
        <f t="shared" si="4"/>
        <v/>
      </c>
      <c r="O9" s="215" t="str">
        <f t="shared" si="5"/>
        <v/>
      </c>
      <c r="P9" s="215" t="str">
        <f t="shared" si="6"/>
        <v/>
      </c>
      <c r="Q9" s="63" t="str">
        <f t="shared" si="7"/>
        <v/>
      </c>
      <c r="R9" s="215" t="str">
        <f t="shared" si="8"/>
        <v/>
      </c>
      <c r="S9" s="214" t="str">
        <f>'1. MPBC'!AI38</f>
        <v/>
      </c>
      <c r="T9" s="214" t="str">
        <f>'1. MPBC'!AJ38</f>
        <v/>
      </c>
      <c r="U9" s="214" t="str">
        <f>'1. MPBC'!AK38</f>
        <v/>
      </c>
      <c r="V9" s="214" t="str">
        <f>'1. MPBC'!AI40</f>
        <v/>
      </c>
      <c r="W9" s="214" t="str">
        <f>'1. MPBC'!AJ40</f>
        <v/>
      </c>
      <c r="X9" s="214" t="str">
        <f t="shared" si="9"/>
        <v/>
      </c>
      <c r="Y9" s="214" t="str">
        <f t="shared" si="10"/>
        <v/>
      </c>
    </row>
    <row r="10" spans="1:25" x14ac:dyDescent="0.35">
      <c r="A10" s="211" t="s">
        <v>22</v>
      </c>
      <c r="B10" s="212" t="str">
        <f>'1. MPBC'!AM10</f>
        <v>Supplier 8</v>
      </c>
      <c r="C10" s="213">
        <f>'1. MPBC'!AM28</f>
        <v>0</v>
      </c>
      <c r="D10" s="212" t="str">
        <f t="shared" si="0"/>
        <v/>
      </c>
      <c r="E10" s="213" t="str">
        <f>'1. MPBC'!AO20</f>
        <v>&lt;--  select country</v>
      </c>
      <c r="F10" s="213">
        <f>'1. MPBC'!$D$28</f>
        <v>0</v>
      </c>
      <c r="G10" s="214" t="str">
        <f>'1. MPBC'!AO40</f>
        <v/>
      </c>
      <c r="H10" s="214" t="str">
        <f>'1. MPBC'!AM39</f>
        <v/>
      </c>
      <c r="I10" s="214" t="str">
        <f>'1. MPBC'!AN39</f>
        <v/>
      </c>
      <c r="J10" s="214" t="str">
        <f>'1. MPBC'!AO39</f>
        <v/>
      </c>
      <c r="K10" s="214" t="str">
        <f t="shared" si="1"/>
        <v/>
      </c>
      <c r="L10" s="214" t="str">
        <f t="shared" si="2"/>
        <v/>
      </c>
      <c r="M10" s="214" t="str">
        <f t="shared" si="3"/>
        <v/>
      </c>
      <c r="N10" s="215" t="str">
        <f t="shared" si="4"/>
        <v/>
      </c>
      <c r="O10" s="215" t="str">
        <f t="shared" si="5"/>
        <v/>
      </c>
      <c r="P10" s="215" t="str">
        <f t="shared" si="6"/>
        <v/>
      </c>
      <c r="Q10" s="63" t="str">
        <f t="shared" si="7"/>
        <v/>
      </c>
      <c r="R10" s="215" t="str">
        <f t="shared" si="8"/>
        <v/>
      </c>
      <c r="S10" s="214" t="str">
        <f>'1. MPBC'!AM38</f>
        <v/>
      </c>
      <c r="T10" s="214" t="str">
        <f>'1. MPBC'!AN38</f>
        <v/>
      </c>
      <c r="U10" s="214" t="str">
        <f>'1. MPBC'!AO38</f>
        <v/>
      </c>
      <c r="V10" s="214" t="str">
        <f>'1. MPBC'!AM40</f>
        <v/>
      </c>
      <c r="W10" s="214" t="str">
        <f>'1. MPBC'!AN40</f>
        <v/>
      </c>
      <c r="X10" s="214" t="str">
        <f t="shared" si="9"/>
        <v/>
      </c>
      <c r="Y10" s="214" t="str">
        <f t="shared" si="10"/>
        <v/>
      </c>
    </row>
    <row r="11" spans="1:25" x14ac:dyDescent="0.35">
      <c r="A11" s="211" t="s">
        <v>23</v>
      </c>
      <c r="B11" s="212" t="str">
        <f>'1. MPBC'!AQ10</f>
        <v>Supplier 9</v>
      </c>
      <c r="C11" s="213">
        <f>'1. MPBC'!AQ28</f>
        <v>0</v>
      </c>
      <c r="D11" s="212" t="str">
        <f t="shared" si="0"/>
        <v/>
      </c>
      <c r="E11" s="213" t="str">
        <f>'1. MPBC'!AS20</f>
        <v>&lt;--  select country</v>
      </c>
      <c r="F11" s="213">
        <f>'1. MPBC'!$D$28</f>
        <v>0</v>
      </c>
      <c r="G11" s="214" t="str">
        <f>'1. MPBC'!AS40</f>
        <v/>
      </c>
      <c r="H11" s="214" t="str">
        <f>'1. MPBC'!AQ39</f>
        <v/>
      </c>
      <c r="I11" s="214" t="str">
        <f>'1. MPBC'!AR39</f>
        <v/>
      </c>
      <c r="J11" s="214" t="str">
        <f>'1. MPBC'!AS39</f>
        <v/>
      </c>
      <c r="K11" s="214" t="str">
        <f t="shared" si="1"/>
        <v/>
      </c>
      <c r="L11" s="214" t="str">
        <f t="shared" si="2"/>
        <v/>
      </c>
      <c r="M11" s="214" t="str">
        <f t="shared" si="3"/>
        <v/>
      </c>
      <c r="N11" s="215" t="str">
        <f t="shared" si="4"/>
        <v/>
      </c>
      <c r="O11" s="215" t="str">
        <f t="shared" si="5"/>
        <v/>
      </c>
      <c r="P11" s="215" t="str">
        <f t="shared" si="6"/>
        <v/>
      </c>
      <c r="Q11" s="63" t="str">
        <f t="shared" si="7"/>
        <v/>
      </c>
      <c r="R11" s="215" t="str">
        <f t="shared" si="8"/>
        <v/>
      </c>
      <c r="S11" s="214" t="str">
        <f>'1. MPBC'!AQ38</f>
        <v/>
      </c>
      <c r="T11" s="214" t="str">
        <f>'1. MPBC'!AR38</f>
        <v/>
      </c>
      <c r="U11" s="214" t="str">
        <f>'1. MPBC'!AS38</f>
        <v/>
      </c>
      <c r="V11" s="214" t="str">
        <f>'1. MPBC'!AQ40</f>
        <v/>
      </c>
      <c r="W11" s="214" t="str">
        <f>'1. MPBC'!AR40</f>
        <v/>
      </c>
      <c r="X11" s="214" t="str">
        <f t="shared" si="9"/>
        <v/>
      </c>
      <c r="Y11" s="214" t="str">
        <f t="shared" si="10"/>
        <v/>
      </c>
    </row>
    <row r="12" spans="1:25" x14ac:dyDescent="0.35">
      <c r="A12" s="211" t="s">
        <v>24</v>
      </c>
      <c r="B12" s="212" t="str">
        <f>'1. MPBC'!AU10</f>
        <v>Supplier 10</v>
      </c>
      <c r="C12" s="213">
        <f>'1. MPBC'!AU28</f>
        <v>0</v>
      </c>
      <c r="D12" s="212" t="str">
        <f t="shared" si="0"/>
        <v/>
      </c>
      <c r="E12" s="213" t="str">
        <f>'1. MPBC'!AW20</f>
        <v>&lt;--  select country</v>
      </c>
      <c r="F12" s="213">
        <f>'1. MPBC'!$D$28</f>
        <v>0</v>
      </c>
      <c r="G12" s="214" t="str">
        <f>'1. MPBC'!AW40</f>
        <v/>
      </c>
      <c r="H12" s="214" t="str">
        <f>'1. MPBC'!AU39</f>
        <v/>
      </c>
      <c r="I12" s="214" t="str">
        <f>'1. MPBC'!AV39</f>
        <v/>
      </c>
      <c r="J12" s="214" t="str">
        <f>'1. MPBC'!AW39</f>
        <v/>
      </c>
      <c r="K12" s="214" t="str">
        <f t="shared" si="1"/>
        <v/>
      </c>
      <c r="L12" s="214" t="str">
        <f t="shared" si="2"/>
        <v/>
      </c>
      <c r="M12" s="214" t="str">
        <f t="shared" si="3"/>
        <v/>
      </c>
      <c r="N12" s="215" t="str">
        <f t="shared" si="4"/>
        <v/>
      </c>
      <c r="O12" s="215" t="str">
        <f t="shared" si="5"/>
        <v/>
      </c>
      <c r="P12" s="215" t="str">
        <f t="shared" si="6"/>
        <v/>
      </c>
      <c r="Q12" s="63" t="str">
        <f t="shared" si="7"/>
        <v/>
      </c>
      <c r="R12" s="215" t="str">
        <f t="shared" si="8"/>
        <v/>
      </c>
      <c r="S12" s="214" t="str">
        <f>'1. MPBC'!AU38</f>
        <v/>
      </c>
      <c r="T12" s="214" t="str">
        <f>'1. MPBC'!AV38</f>
        <v/>
      </c>
      <c r="U12" s="214" t="str">
        <f>'1. MPBC'!AW38</f>
        <v/>
      </c>
      <c r="V12" s="214" t="str">
        <f>'1. MPBC'!AU40</f>
        <v/>
      </c>
      <c r="W12" s="214" t="str">
        <f>'1. MPBC'!AV40</f>
        <v/>
      </c>
      <c r="X12" s="214" t="str">
        <f t="shared" si="9"/>
        <v/>
      </c>
      <c r="Y12" s="214" t="str">
        <f t="shared" si="10"/>
        <v/>
      </c>
    </row>
    <row r="13" spans="1:25" x14ac:dyDescent="0.35">
      <c r="A13" s="211" t="s">
        <v>25</v>
      </c>
      <c r="B13" s="57">
        <v>1</v>
      </c>
      <c r="C13" s="57">
        <v>2</v>
      </c>
      <c r="D13" s="57">
        <v>3</v>
      </c>
      <c r="E13" s="57">
        <v>4</v>
      </c>
      <c r="F13" s="57">
        <v>5</v>
      </c>
      <c r="G13" s="57">
        <v>6</v>
      </c>
      <c r="H13" s="57">
        <v>7</v>
      </c>
      <c r="I13" s="57">
        <v>8</v>
      </c>
      <c r="J13" s="57">
        <v>9</v>
      </c>
      <c r="K13" s="57">
        <v>10</v>
      </c>
      <c r="L13" s="57">
        <v>11</v>
      </c>
      <c r="M13" s="57">
        <v>12</v>
      </c>
      <c r="N13" s="57">
        <v>13</v>
      </c>
      <c r="O13" s="57">
        <v>14</v>
      </c>
      <c r="P13" s="57">
        <v>15</v>
      </c>
      <c r="Q13" s="57">
        <v>16</v>
      </c>
      <c r="R13" s="57">
        <v>17</v>
      </c>
      <c r="S13" s="57">
        <v>18</v>
      </c>
      <c r="T13" s="57">
        <v>19</v>
      </c>
      <c r="U13" s="57">
        <v>20</v>
      </c>
      <c r="V13" s="57">
        <v>21</v>
      </c>
      <c r="W13" s="57">
        <v>22</v>
      </c>
      <c r="X13" s="57">
        <v>23</v>
      </c>
      <c r="Y13" s="57">
        <v>24</v>
      </c>
    </row>
    <row r="14" spans="1:25" x14ac:dyDescent="0.35">
      <c r="A14" s="211" t="s">
        <v>26</v>
      </c>
      <c r="B14" t="s">
        <v>27</v>
      </c>
      <c r="C14" s="216">
        <f>'1. MPBC'!M6</f>
        <v>0</v>
      </c>
      <c r="G14" t="s">
        <v>28</v>
      </c>
    </row>
    <row r="15" spans="1:25" x14ac:dyDescent="0.35">
      <c r="A15" s="211" t="s">
        <v>29</v>
      </c>
      <c r="G15" t="s">
        <v>30</v>
      </c>
    </row>
    <row r="16" spans="1:25" x14ac:dyDescent="0.35">
      <c r="A16" s="211" t="s">
        <v>31</v>
      </c>
      <c r="B16" s="364" t="s">
        <v>32</v>
      </c>
      <c r="C16" s="364"/>
      <c r="D16" s="364"/>
      <c r="E16" s="364"/>
      <c r="G16" t="s">
        <v>33</v>
      </c>
    </row>
    <row r="17" spans="1:18" x14ac:dyDescent="0.35">
      <c r="A17" s="211" t="s">
        <v>34</v>
      </c>
      <c r="B17" s="364"/>
      <c r="C17" s="364"/>
      <c r="D17" s="364"/>
      <c r="E17" s="364"/>
      <c r="R17" s="97"/>
    </row>
    <row r="18" spans="1:18" x14ac:dyDescent="0.35">
      <c r="A18" s="211" t="s">
        <v>22</v>
      </c>
      <c r="B18" s="364"/>
      <c r="C18" s="364"/>
      <c r="D18" s="364"/>
      <c r="E18" s="364"/>
      <c r="G18" t="s">
        <v>35</v>
      </c>
      <c r="R18" s="97"/>
    </row>
    <row r="19" spans="1:18" x14ac:dyDescent="0.35">
      <c r="A19" s="211">
        <v>1</v>
      </c>
      <c r="B19" s="364"/>
      <c r="C19" s="364"/>
      <c r="D19" s="364"/>
      <c r="E19" s="364"/>
      <c r="G19" t="s">
        <v>36</v>
      </c>
      <c r="R19" s="97"/>
    </row>
    <row r="20" spans="1:18" x14ac:dyDescent="0.35">
      <c r="A20" s="211" t="s">
        <v>37</v>
      </c>
      <c r="B20" s="364"/>
      <c r="C20" s="364"/>
      <c r="D20" s="364"/>
      <c r="E20" s="364"/>
    </row>
    <row r="21" spans="1:18" x14ac:dyDescent="0.35">
      <c r="A21" s="211">
        <v>0</v>
      </c>
      <c r="B21" s="364"/>
      <c r="C21" s="364"/>
      <c r="D21" s="364"/>
      <c r="E21" s="364"/>
    </row>
    <row r="23" spans="1:18" x14ac:dyDescent="0.35">
      <c r="B23" t="s">
        <v>38</v>
      </c>
      <c r="C23" t="s">
        <v>39</v>
      </c>
    </row>
    <row r="24" spans="1:18" x14ac:dyDescent="0.35">
      <c r="B24" t="s">
        <v>40</v>
      </c>
      <c r="C24" t="s">
        <v>41</v>
      </c>
    </row>
    <row r="25" spans="1:18" x14ac:dyDescent="0.35">
      <c r="B25" t="s">
        <v>42</v>
      </c>
      <c r="C25" t="s">
        <v>43</v>
      </c>
    </row>
    <row r="26" spans="1:18" x14ac:dyDescent="0.35">
      <c r="B26" t="s">
        <v>44</v>
      </c>
      <c r="C26" t="s">
        <v>41</v>
      </c>
    </row>
    <row r="27" spans="1:18" x14ac:dyDescent="0.35">
      <c r="B27" t="s">
        <v>45</v>
      </c>
      <c r="C27" t="s">
        <v>46</v>
      </c>
    </row>
    <row r="28" spans="1:18" x14ac:dyDescent="0.35">
      <c r="B28" t="s">
        <v>47</v>
      </c>
      <c r="C28" t="s">
        <v>48</v>
      </c>
    </row>
    <row r="29" spans="1:18" x14ac:dyDescent="0.35">
      <c r="B29" t="s">
        <v>49</v>
      </c>
      <c r="C29" t="s">
        <v>48</v>
      </c>
    </row>
    <row r="30" spans="1:18" x14ac:dyDescent="0.35">
      <c r="B30" t="s">
        <v>50</v>
      </c>
      <c r="C30" t="s">
        <v>48</v>
      </c>
    </row>
    <row r="31" spans="1:18" x14ac:dyDescent="0.35">
      <c r="B31" t="s">
        <v>51</v>
      </c>
      <c r="C31" t="s">
        <v>48</v>
      </c>
    </row>
    <row r="32" spans="1:18" x14ac:dyDescent="0.35">
      <c r="B32" t="s">
        <v>52</v>
      </c>
      <c r="C32" t="s">
        <v>48</v>
      </c>
    </row>
    <row r="33" spans="2:3" x14ac:dyDescent="0.35">
      <c r="B33" t="s">
        <v>53</v>
      </c>
      <c r="C33" t="s">
        <v>48</v>
      </c>
    </row>
    <row r="34" spans="2:3" x14ac:dyDescent="0.35">
      <c r="B34" t="s">
        <v>54</v>
      </c>
      <c r="C34" t="s">
        <v>48</v>
      </c>
    </row>
    <row r="35" spans="2:3" x14ac:dyDescent="0.35">
      <c r="B35" t="s">
        <v>55</v>
      </c>
      <c r="C35" t="s">
        <v>56</v>
      </c>
    </row>
    <row r="36" spans="2:3" x14ac:dyDescent="0.35">
      <c r="B36" t="s">
        <v>57</v>
      </c>
      <c r="C36" t="s">
        <v>48</v>
      </c>
    </row>
    <row r="37" spans="2:3" x14ac:dyDescent="0.35">
      <c r="B37" t="s">
        <v>58</v>
      </c>
      <c r="C37" t="s">
        <v>43</v>
      </c>
    </row>
    <row r="38" spans="2:3" x14ac:dyDescent="0.35">
      <c r="B38" t="s">
        <v>59</v>
      </c>
      <c r="C38" t="s">
        <v>48</v>
      </c>
    </row>
    <row r="39" spans="2:3" x14ac:dyDescent="0.35">
      <c r="B39" t="s">
        <v>60</v>
      </c>
      <c r="C39" t="s">
        <v>41</v>
      </c>
    </row>
    <row r="40" spans="2:3" x14ac:dyDescent="0.35">
      <c r="B40" t="s">
        <v>61</v>
      </c>
      <c r="C40" t="s">
        <v>48</v>
      </c>
    </row>
    <row r="41" spans="2:3" x14ac:dyDescent="0.35">
      <c r="B41" t="s">
        <v>62</v>
      </c>
      <c r="C41" t="s">
        <v>48</v>
      </c>
    </row>
    <row r="42" spans="2:3" x14ac:dyDescent="0.35">
      <c r="B42" t="s">
        <v>63</v>
      </c>
      <c r="C42" t="s">
        <v>43</v>
      </c>
    </row>
    <row r="43" spans="2:3" x14ac:dyDescent="0.35">
      <c r="B43" t="s">
        <v>64</v>
      </c>
      <c r="C43" t="s">
        <v>48</v>
      </c>
    </row>
    <row r="44" spans="2:3" x14ac:dyDescent="0.35">
      <c r="B44" t="s">
        <v>65</v>
      </c>
      <c r="C44" t="s">
        <v>48</v>
      </c>
    </row>
    <row r="45" spans="2:3" x14ac:dyDescent="0.35">
      <c r="B45" t="s">
        <v>66</v>
      </c>
      <c r="C45" t="s">
        <v>48</v>
      </c>
    </row>
    <row r="46" spans="2:3" x14ac:dyDescent="0.35">
      <c r="B46" t="s">
        <v>67</v>
      </c>
      <c r="C46" t="s">
        <v>48</v>
      </c>
    </row>
    <row r="47" spans="2:3" x14ac:dyDescent="0.35">
      <c r="B47" t="s">
        <v>68</v>
      </c>
      <c r="C47" t="s">
        <v>43</v>
      </c>
    </row>
    <row r="48" spans="2:3" x14ac:dyDescent="0.35">
      <c r="B48" t="s">
        <v>69</v>
      </c>
      <c r="C48" t="s">
        <v>48</v>
      </c>
    </row>
    <row r="49" spans="2:3" x14ac:dyDescent="0.35">
      <c r="B49" t="s">
        <v>70</v>
      </c>
      <c r="C49" t="s">
        <v>56</v>
      </c>
    </row>
    <row r="50" spans="2:3" x14ac:dyDescent="0.35">
      <c r="B50" t="s">
        <v>71</v>
      </c>
      <c r="C50" t="s">
        <v>43</v>
      </c>
    </row>
    <row r="51" spans="2:3" x14ac:dyDescent="0.35">
      <c r="B51" t="s">
        <v>72</v>
      </c>
      <c r="C51" t="s">
        <v>48</v>
      </c>
    </row>
    <row r="52" spans="2:3" x14ac:dyDescent="0.35">
      <c r="B52" t="s">
        <v>73</v>
      </c>
      <c r="C52" t="s">
        <v>56</v>
      </c>
    </row>
    <row r="53" spans="2:3" x14ac:dyDescent="0.35">
      <c r="B53" t="s">
        <v>74</v>
      </c>
      <c r="C53" t="s">
        <v>48</v>
      </c>
    </row>
    <row r="54" spans="2:3" x14ac:dyDescent="0.35">
      <c r="B54" t="s">
        <v>75</v>
      </c>
      <c r="C54" t="s">
        <v>43</v>
      </c>
    </row>
    <row r="55" spans="2:3" x14ac:dyDescent="0.35">
      <c r="B55" t="s">
        <v>76</v>
      </c>
      <c r="C55" t="s">
        <v>48</v>
      </c>
    </row>
    <row r="56" spans="2:3" x14ac:dyDescent="0.35">
      <c r="B56" t="s">
        <v>77</v>
      </c>
      <c r="C56" t="s">
        <v>56</v>
      </c>
    </row>
    <row r="57" spans="2:3" x14ac:dyDescent="0.35">
      <c r="B57" t="s">
        <v>78</v>
      </c>
      <c r="C57" t="s">
        <v>48</v>
      </c>
    </row>
    <row r="58" spans="2:3" x14ac:dyDescent="0.35">
      <c r="B58" t="s">
        <v>79</v>
      </c>
      <c r="C58" t="s">
        <v>41</v>
      </c>
    </row>
    <row r="59" spans="2:3" x14ac:dyDescent="0.35">
      <c r="B59" t="s">
        <v>80</v>
      </c>
      <c r="C59" t="s">
        <v>81</v>
      </c>
    </row>
  </sheetData>
  <sheetProtection algorithmName="SHA-512" hashValue="PsuENrUpKJOfiTSQr9OqRD3W8Zap6B7kT8P47I0Y5NA8wWwRJXWS5R2O6vLqYW4D8DEpYhHVDDiWFIttCnMVlQ==" saltValue="IPtsZNLZ7DE1KWNAKADLdg==" spinCount="100000" sheet="1" objects="1" scenarios="1" selectLockedCells="1" selectUnlockedCells="1"/>
  <sortState xmlns:xlrd2="http://schemas.microsoft.com/office/spreadsheetml/2017/richdata2" ref="N2:N34">
    <sortCondition ref="N2:N34"/>
  </sortState>
  <mergeCells count="1">
    <mergeCell ref="B16:E21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Y74"/>
  <sheetViews>
    <sheetView showGridLines="0" tabSelected="1" zoomScale="80" zoomScaleNormal="80" workbookViewId="0">
      <selection activeCell="D4" sqref="D4:F5"/>
    </sheetView>
  </sheetViews>
  <sheetFormatPr defaultColWidth="8.7265625" defaultRowHeight="15.5" x14ac:dyDescent="0.35"/>
  <cols>
    <col min="1" max="1" width="2.453125" style="133" customWidth="1"/>
    <col min="2" max="2" width="4.81640625" style="133" customWidth="1"/>
    <col min="3" max="3" width="37.453125" style="133" customWidth="1"/>
    <col min="4" max="4" width="9.54296875" style="133" customWidth="1"/>
    <col min="5" max="5" width="6.54296875" style="133" customWidth="1"/>
    <col min="6" max="6" width="18" style="133" customWidth="1"/>
    <col min="7" max="7" width="15.1796875" style="133" customWidth="1"/>
    <col min="8" max="8" width="16.81640625" style="133" customWidth="1"/>
    <col min="9" max="9" width="13.26953125" style="133" customWidth="1"/>
    <col min="10" max="10" width="15.81640625" style="133" customWidth="1"/>
    <col min="11" max="11" width="13.81640625" style="133" bestFit="1" customWidth="1"/>
    <col min="12" max="12" width="14" style="133" bestFit="1" customWidth="1"/>
    <col min="13" max="13" width="14.81640625" style="133" customWidth="1"/>
    <col min="14" max="14" width="13.453125" style="133" customWidth="1"/>
    <col min="15" max="15" width="13.81640625" style="133" bestFit="1" customWidth="1"/>
    <col min="16" max="16" width="14" style="133" bestFit="1" customWidth="1"/>
    <col min="17" max="17" width="14.81640625" style="133" customWidth="1"/>
    <col min="18" max="18" width="13.453125" style="133" customWidth="1"/>
    <col min="19" max="19" width="2.81640625" style="133" customWidth="1"/>
    <col min="20" max="20" width="13.81640625" style="134" customWidth="1"/>
    <col min="21" max="21" width="13.453125" style="134" customWidth="1"/>
    <col min="22" max="22" width="2.54296875" style="133" customWidth="1"/>
    <col min="23" max="23" width="13.81640625" style="133" customWidth="1"/>
    <col min="24" max="24" width="14" style="133" customWidth="1"/>
    <col min="25" max="25" width="14.81640625" style="133" customWidth="1"/>
    <col min="26" max="26" width="13.453125" style="133" customWidth="1"/>
    <col min="27" max="27" width="13.81640625" style="133" customWidth="1"/>
    <col min="28" max="28" width="14" style="133" customWidth="1"/>
    <col min="29" max="29" width="14.81640625" style="133" customWidth="1"/>
    <col min="30" max="30" width="13.453125" style="133" customWidth="1"/>
    <col min="31" max="31" width="13.81640625" style="133" customWidth="1"/>
    <col min="32" max="32" width="14" style="133" customWidth="1"/>
    <col min="33" max="33" width="14.81640625" style="133" customWidth="1"/>
    <col min="34" max="34" width="13.453125" style="133" customWidth="1"/>
    <col min="35" max="35" width="13.81640625" style="133" customWidth="1"/>
    <col min="36" max="36" width="14" style="133" customWidth="1"/>
    <col min="37" max="37" width="14.81640625" style="133" customWidth="1"/>
    <col min="38" max="38" width="13.453125" style="133" customWidth="1"/>
    <col min="39" max="39" width="13.81640625" style="133" customWidth="1"/>
    <col min="40" max="40" width="14" style="133" customWidth="1"/>
    <col min="41" max="41" width="14.81640625" style="133" customWidth="1"/>
    <col min="42" max="42" width="13.453125" style="133" customWidth="1"/>
    <col min="43" max="43" width="13.81640625" style="133" customWidth="1"/>
    <col min="44" max="44" width="14" style="133" customWidth="1"/>
    <col min="45" max="45" width="14.81640625" style="133" customWidth="1"/>
    <col min="46" max="46" width="15.26953125" style="133" customWidth="1"/>
    <col min="47" max="47" width="13.81640625" style="133" customWidth="1"/>
    <col min="48" max="48" width="13.1796875" style="133" customWidth="1"/>
    <col min="49" max="49" width="13.81640625" style="133" customWidth="1"/>
    <col min="50" max="50" width="13.453125" style="133" customWidth="1"/>
    <col min="51" max="51" width="4.453125" style="133" customWidth="1"/>
    <col min="52" max="16384" width="8.7265625" style="133"/>
  </cols>
  <sheetData>
    <row r="1" spans="2:50" ht="16" thickBot="1" x14ac:dyDescent="0.4"/>
    <row r="2" spans="2:50" ht="39" customHeight="1" thickBot="1" x14ac:dyDescent="0.4">
      <c r="B2" s="359" t="e" vm="1">
        <v>#VALUE!</v>
      </c>
      <c r="C2" s="360"/>
      <c r="D2" s="135"/>
      <c r="E2" s="135"/>
      <c r="F2" s="136"/>
      <c r="G2" s="361" t="s">
        <v>481</v>
      </c>
      <c r="H2" s="362"/>
      <c r="I2" s="362"/>
      <c r="J2" s="362"/>
      <c r="K2" s="362"/>
      <c r="L2" s="362"/>
      <c r="M2" s="362"/>
      <c r="N2" s="362"/>
      <c r="O2" s="362"/>
      <c r="P2" s="362"/>
      <c r="Q2" s="362"/>
      <c r="R2" s="363"/>
      <c r="S2" s="137"/>
      <c r="T2" s="138"/>
      <c r="V2" s="137"/>
    </row>
    <row r="3" spans="2:50" ht="24" customHeight="1" x14ac:dyDescent="0.35">
      <c r="B3" s="249" t="s">
        <v>483</v>
      </c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1"/>
      <c r="S3" s="139"/>
      <c r="V3" s="140"/>
      <c r="W3" s="141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42"/>
      <c r="AX3" s="143"/>
    </row>
    <row r="4" spans="2:50" ht="15.75" customHeight="1" x14ac:dyDescent="0.35">
      <c r="B4" s="223" t="s">
        <v>82</v>
      </c>
      <c r="C4" s="223"/>
      <c r="D4" s="231"/>
      <c r="E4" s="231"/>
      <c r="F4" s="231"/>
      <c r="G4" s="223" t="s">
        <v>83</v>
      </c>
      <c r="H4" s="223"/>
      <c r="I4" s="241"/>
      <c r="J4" s="241"/>
      <c r="K4" s="223" t="s">
        <v>84</v>
      </c>
      <c r="L4" s="223"/>
      <c r="M4" s="241" t="s">
        <v>85</v>
      </c>
      <c r="N4" s="241"/>
      <c r="O4" s="223" t="s">
        <v>86</v>
      </c>
      <c r="P4" s="223"/>
      <c r="Q4" s="350" t="str">
        <f>IFERROR(IF(VLOOKUP($M$8,#REF!,2,FALSE)="", "-", VLOOKUP($M$8,#REF!,2,FALSE)),"check Com.code / country")</f>
        <v>check Com.code / country</v>
      </c>
      <c r="R4" s="351"/>
      <c r="S4" s="144"/>
      <c r="T4" s="235" t="s">
        <v>87</v>
      </c>
      <c r="U4" s="236"/>
      <c r="V4" s="144"/>
      <c r="W4" s="145"/>
      <c r="X4" s="146"/>
      <c r="Y4" s="146"/>
      <c r="Z4" s="146"/>
      <c r="AA4" s="146"/>
      <c r="AB4" s="146"/>
      <c r="AC4" s="344"/>
      <c r="AD4" s="344"/>
      <c r="AE4" s="220"/>
      <c r="AF4" s="220"/>
      <c r="AG4" s="344"/>
      <c r="AH4" s="344"/>
      <c r="AI4" s="220"/>
      <c r="AJ4" s="220"/>
      <c r="AK4" s="344"/>
      <c r="AL4" s="344"/>
      <c r="AM4" s="220"/>
      <c r="AN4" s="220"/>
      <c r="AO4" s="344"/>
      <c r="AP4" s="344"/>
      <c r="AQ4" s="220"/>
      <c r="AR4" s="220"/>
      <c r="AS4" s="344"/>
      <c r="AT4" s="344"/>
      <c r="AU4" s="220"/>
      <c r="AV4" s="220"/>
      <c r="AW4" s="221"/>
      <c r="AX4" s="222"/>
    </row>
    <row r="5" spans="2:50" ht="15.75" customHeight="1" x14ac:dyDescent="0.35">
      <c r="B5" s="223"/>
      <c r="C5" s="223"/>
      <c r="D5" s="231"/>
      <c r="E5" s="231"/>
      <c r="F5" s="231"/>
      <c r="G5" s="223" t="s">
        <v>88</v>
      </c>
      <c r="H5" s="223"/>
      <c r="I5" s="241"/>
      <c r="J5" s="241"/>
      <c r="K5" s="223" t="s">
        <v>89</v>
      </c>
      <c r="L5" s="223"/>
      <c r="M5" s="345" t="str">
        <f>IFERROR(IF(I5="","",IF(I4="","",I5-I4)),"")</f>
        <v/>
      </c>
      <c r="N5" s="345"/>
      <c r="O5" s="223" t="s">
        <v>90</v>
      </c>
      <c r="P5" s="223"/>
      <c r="Q5" s="243" t="str">
        <f>IFERROR(IF(VLOOKUP($M$8,#REF!,3,FALSE)="", "-", VLOOKUP($M$8,#REF!,3,FALSE)),"check Com.code / country")</f>
        <v>check Com.code / country</v>
      </c>
      <c r="R5" s="243"/>
      <c r="S5" s="147"/>
      <c r="T5" s="237"/>
      <c r="U5" s="238"/>
      <c r="V5" s="147"/>
      <c r="W5" s="145"/>
      <c r="X5" s="146"/>
      <c r="Y5" s="146"/>
      <c r="Z5" s="146"/>
      <c r="AA5" s="146"/>
      <c r="AB5" s="146"/>
      <c r="AC5" s="344"/>
      <c r="AD5" s="344"/>
      <c r="AE5" s="220"/>
      <c r="AF5" s="220"/>
      <c r="AG5" s="344"/>
      <c r="AH5" s="344"/>
      <c r="AI5" s="220"/>
      <c r="AJ5" s="220"/>
      <c r="AK5" s="344"/>
      <c r="AL5" s="344"/>
      <c r="AM5" s="220"/>
      <c r="AN5" s="220"/>
      <c r="AO5" s="344"/>
      <c r="AP5" s="344"/>
      <c r="AQ5" s="220"/>
      <c r="AR5" s="220"/>
      <c r="AS5" s="344"/>
      <c r="AT5" s="344"/>
      <c r="AU5" s="220"/>
      <c r="AV5" s="220"/>
      <c r="AW5" s="221"/>
      <c r="AX5" s="222"/>
    </row>
    <row r="6" spans="2:50" ht="15.75" customHeight="1" x14ac:dyDescent="0.35">
      <c r="B6" s="223" t="s">
        <v>91</v>
      </c>
      <c r="C6" s="223"/>
      <c r="D6" s="232"/>
      <c r="E6" s="233"/>
      <c r="F6" s="234"/>
      <c r="G6" s="223" t="s">
        <v>92</v>
      </c>
      <c r="H6" s="223"/>
      <c r="I6" s="242" t="str">
        <f>IFERROR(VLOOKUP(I9,calc!B24:C59,2,FALSE),"select country")</f>
        <v>select country</v>
      </c>
      <c r="J6" s="242"/>
      <c r="K6" s="223" t="str">
        <f>"RAS Value in "&amp;D28</f>
        <v xml:space="preserve">RAS Value in </v>
      </c>
      <c r="L6" s="223"/>
      <c r="M6" s="353"/>
      <c r="N6" s="353"/>
      <c r="O6" s="223" t="s">
        <v>93</v>
      </c>
      <c r="P6" s="223"/>
      <c r="Q6" s="243" t="str">
        <f>IFERROR(IF(VLOOKUP($M$8,#REF!,4,FALSE)="", "-", VLOOKUP($M$8,#REF!,4,FALSE)),"check Com.code / country")</f>
        <v>check Com.code / country</v>
      </c>
      <c r="R6" s="243"/>
      <c r="S6" s="147"/>
      <c r="T6" s="237"/>
      <c r="U6" s="238"/>
      <c r="V6" s="147"/>
      <c r="W6" s="145"/>
      <c r="X6" s="146"/>
      <c r="Y6" s="146"/>
      <c r="Z6" s="146"/>
      <c r="AA6" s="146"/>
      <c r="AB6" s="146"/>
      <c r="AC6" s="334"/>
      <c r="AD6" s="334"/>
      <c r="AE6" s="220"/>
      <c r="AF6" s="220"/>
      <c r="AG6" s="348"/>
      <c r="AH6" s="348"/>
      <c r="AI6" s="220"/>
      <c r="AJ6" s="220"/>
      <c r="AK6" s="348"/>
      <c r="AL6" s="348"/>
      <c r="AM6" s="220"/>
      <c r="AN6" s="220"/>
      <c r="AO6" s="348"/>
      <c r="AP6" s="348"/>
      <c r="AQ6" s="220"/>
      <c r="AR6" s="220"/>
      <c r="AS6" s="348"/>
      <c r="AT6" s="348"/>
      <c r="AU6" s="220"/>
      <c r="AV6" s="220"/>
      <c r="AW6" s="348"/>
      <c r="AX6" s="349"/>
    </row>
    <row r="7" spans="2:50" ht="15.75" customHeight="1" x14ac:dyDescent="0.35">
      <c r="B7" s="223" t="s">
        <v>94</v>
      </c>
      <c r="C7" s="223"/>
      <c r="D7" s="246"/>
      <c r="E7" s="246"/>
      <c r="F7" s="246"/>
      <c r="G7" s="223" t="s">
        <v>95</v>
      </c>
      <c r="H7" s="223"/>
      <c r="I7" s="246"/>
      <c r="J7" s="246"/>
      <c r="K7" s="223" t="s">
        <v>96</v>
      </c>
      <c r="L7" s="223"/>
      <c r="M7" s="352" t="str">
        <f>IFERROR(VLOOKUP(G66,calc!B2:J12,8,FALSE),"")</f>
        <v/>
      </c>
      <c r="N7" s="352"/>
      <c r="O7" s="223" t="s">
        <v>97</v>
      </c>
      <c r="P7" s="223"/>
      <c r="Q7" s="243" t="str">
        <f>IFERROR(IF(VLOOKUP($M$8,#REF!,5,FALSE)="", "-", VLOOKUP($M$8,#REF!,5,FALSE)),"check Com.code / country")</f>
        <v>check Com.code / country</v>
      </c>
      <c r="R7" s="243"/>
      <c r="S7" s="147"/>
      <c r="T7" s="237"/>
      <c r="U7" s="238"/>
      <c r="V7" s="147"/>
      <c r="W7" s="145"/>
      <c r="X7" s="146"/>
      <c r="Y7" s="146"/>
      <c r="Z7" s="146"/>
      <c r="AA7" s="146"/>
      <c r="AB7" s="146"/>
      <c r="AC7" s="334"/>
      <c r="AD7" s="334"/>
      <c r="AE7" s="220"/>
      <c r="AF7" s="220"/>
      <c r="AG7" s="334"/>
      <c r="AH7" s="334"/>
      <c r="AI7" s="220"/>
      <c r="AJ7" s="220"/>
      <c r="AK7" s="334"/>
      <c r="AL7" s="334"/>
      <c r="AM7" s="220"/>
      <c r="AN7" s="220"/>
      <c r="AO7" s="334"/>
      <c r="AP7" s="334"/>
      <c r="AQ7" s="220"/>
      <c r="AR7" s="220"/>
      <c r="AS7" s="334"/>
      <c r="AT7" s="334"/>
      <c r="AU7" s="220"/>
      <c r="AV7" s="220"/>
      <c r="AW7" s="334"/>
      <c r="AX7" s="335"/>
    </row>
    <row r="8" spans="2:50" ht="15.75" customHeight="1" x14ac:dyDescent="0.35">
      <c r="B8" s="223" t="s">
        <v>98</v>
      </c>
      <c r="C8" s="223"/>
      <c r="D8" s="246"/>
      <c r="E8" s="246"/>
      <c r="F8" s="246"/>
      <c r="G8" s="223" t="s">
        <v>99</v>
      </c>
      <c r="H8" s="223"/>
      <c r="I8" s="246"/>
      <c r="J8" s="246"/>
      <c r="K8" s="223" t="s">
        <v>100</v>
      </c>
      <c r="L8" s="223"/>
      <c r="M8" s="244"/>
      <c r="N8" s="245"/>
      <c r="O8" s="223" t="s">
        <v>101</v>
      </c>
      <c r="P8" s="223"/>
      <c r="Q8" s="243" t="str">
        <f>IFERROR(IF(VLOOKUP($M$8,#REF!,6,FALSE)="", "-", VLOOKUP($M$8,#REF!,6,FALSE)),"check Com.code / country")</f>
        <v>check Com.code / country</v>
      </c>
      <c r="R8" s="243"/>
      <c r="S8" s="147"/>
      <c r="T8" s="237" t="s">
        <v>102</v>
      </c>
      <c r="U8" s="238"/>
      <c r="V8" s="147"/>
      <c r="W8" s="145"/>
      <c r="X8" s="146"/>
      <c r="Y8" s="146"/>
      <c r="Z8" s="146"/>
      <c r="AA8" s="146"/>
      <c r="AB8" s="146"/>
      <c r="AC8" s="334"/>
      <c r="AD8" s="334"/>
      <c r="AE8" s="220"/>
      <c r="AF8" s="220"/>
      <c r="AG8" s="334"/>
      <c r="AH8" s="334"/>
      <c r="AI8" s="220"/>
      <c r="AJ8" s="220"/>
      <c r="AK8" s="334"/>
      <c r="AL8" s="334"/>
      <c r="AM8" s="220"/>
      <c r="AN8" s="220"/>
      <c r="AO8" s="334"/>
      <c r="AP8" s="334"/>
      <c r="AQ8" s="220"/>
      <c r="AR8" s="220"/>
      <c r="AS8" s="334"/>
      <c r="AT8" s="334"/>
      <c r="AU8" s="220"/>
      <c r="AV8" s="220"/>
      <c r="AW8" s="334"/>
      <c r="AX8" s="335"/>
    </row>
    <row r="9" spans="2:50" ht="15.75" customHeight="1" x14ac:dyDescent="0.35">
      <c r="B9" s="223" t="s">
        <v>103</v>
      </c>
      <c r="C9" s="223"/>
      <c r="D9" s="296"/>
      <c r="E9" s="296"/>
      <c r="F9" s="296"/>
      <c r="G9" s="223" t="s">
        <v>38</v>
      </c>
      <c r="H9" s="223"/>
      <c r="I9" s="246"/>
      <c r="J9" s="246"/>
      <c r="K9" s="223" t="s">
        <v>104</v>
      </c>
      <c r="L9" s="223"/>
      <c r="M9" s="247" t="str">
        <f>IFERROR(IF(I9="India",IF(VLOOKUP($M$8,#REF!,9,FALSE)="","-",VLOOKUP($M$8,#REF!,9,FALSE)),IF(VLOOKUP($M$8,#REF!,8,FALSE)="","-",VLOOKUP($M$8,#REF!,8,FALSE))),"check Com.code / country")</f>
        <v>check Com.code / country</v>
      </c>
      <c r="N9" s="248"/>
      <c r="O9" s="223" t="s">
        <v>105</v>
      </c>
      <c r="P9" s="223"/>
      <c r="Q9" s="243" t="str">
        <f>IFERROR(IF(VLOOKUP($M$8,#REF!,7,FALSE)="", "-", VLOOKUP($M$8,#REF!,7,FALSE)),"check Com.code / country")</f>
        <v>check Com.code / country</v>
      </c>
      <c r="R9" s="243"/>
      <c r="S9" s="147"/>
      <c r="T9" s="239"/>
      <c r="U9" s="240"/>
      <c r="V9" s="147"/>
      <c r="W9" s="148"/>
      <c r="X9" s="149"/>
      <c r="Y9" s="149"/>
      <c r="Z9" s="149"/>
      <c r="AA9" s="149"/>
      <c r="AB9" s="149"/>
      <c r="AC9" s="323"/>
      <c r="AD9" s="323"/>
      <c r="AE9" s="347"/>
      <c r="AF9" s="347"/>
      <c r="AG9" s="323"/>
      <c r="AH9" s="323"/>
      <c r="AI9" s="347"/>
      <c r="AJ9" s="347"/>
      <c r="AK9" s="323"/>
      <c r="AL9" s="323"/>
      <c r="AM9" s="347"/>
      <c r="AN9" s="347"/>
      <c r="AO9" s="323"/>
      <c r="AP9" s="323"/>
      <c r="AQ9" s="347"/>
      <c r="AR9" s="347"/>
      <c r="AS9" s="323"/>
      <c r="AT9" s="323"/>
      <c r="AU9" s="347"/>
      <c r="AV9" s="347"/>
      <c r="AW9" s="323"/>
      <c r="AX9" s="324"/>
    </row>
    <row r="10" spans="2:50" ht="15.75" customHeight="1" x14ac:dyDescent="0.35">
      <c r="B10" s="223" t="s">
        <v>106</v>
      </c>
      <c r="C10" s="223"/>
      <c r="D10" s="223"/>
      <c r="E10" s="223"/>
      <c r="F10" s="223"/>
      <c r="G10" s="330" t="s">
        <v>107</v>
      </c>
      <c r="H10" s="330"/>
      <c r="I10" s="330"/>
      <c r="J10" s="330"/>
      <c r="K10" s="330" t="s">
        <v>108</v>
      </c>
      <c r="L10" s="330"/>
      <c r="M10" s="330"/>
      <c r="N10" s="330"/>
      <c r="O10" s="330" t="s">
        <v>109</v>
      </c>
      <c r="P10" s="330"/>
      <c r="Q10" s="330"/>
      <c r="R10" s="330"/>
      <c r="S10" s="117"/>
      <c r="T10" s="330" t="s">
        <v>87</v>
      </c>
      <c r="U10" s="330"/>
      <c r="V10" s="125"/>
      <c r="W10" s="346" t="s">
        <v>110</v>
      </c>
      <c r="X10" s="346"/>
      <c r="Y10" s="346"/>
      <c r="Z10" s="346"/>
      <c r="AA10" s="346" t="s">
        <v>111</v>
      </c>
      <c r="AB10" s="346"/>
      <c r="AC10" s="346"/>
      <c r="AD10" s="346"/>
      <c r="AE10" s="346" t="s">
        <v>112</v>
      </c>
      <c r="AF10" s="346"/>
      <c r="AG10" s="346"/>
      <c r="AH10" s="346"/>
      <c r="AI10" s="346" t="s">
        <v>113</v>
      </c>
      <c r="AJ10" s="346"/>
      <c r="AK10" s="346"/>
      <c r="AL10" s="346"/>
      <c r="AM10" s="346" t="s">
        <v>114</v>
      </c>
      <c r="AN10" s="346"/>
      <c r="AO10" s="346"/>
      <c r="AP10" s="346"/>
      <c r="AQ10" s="346" t="s">
        <v>115</v>
      </c>
      <c r="AR10" s="346"/>
      <c r="AS10" s="346"/>
      <c r="AT10" s="346"/>
      <c r="AU10" s="346" t="s">
        <v>116</v>
      </c>
      <c r="AV10" s="346"/>
      <c r="AW10" s="346"/>
      <c r="AX10" s="346"/>
    </row>
    <row r="11" spans="2:50" ht="15.75" customHeight="1" x14ac:dyDescent="0.35">
      <c r="B11" s="223" t="s">
        <v>117</v>
      </c>
      <c r="C11" s="223"/>
      <c r="D11" s="223"/>
      <c r="E11" s="223"/>
      <c r="F11" s="223"/>
      <c r="G11" s="260"/>
      <c r="H11" s="260"/>
      <c r="I11" s="260"/>
      <c r="J11" s="260"/>
      <c r="K11" s="260"/>
      <c r="L11" s="260"/>
      <c r="M11" s="260"/>
      <c r="N11" s="260"/>
      <c r="O11" s="260"/>
      <c r="P11" s="260"/>
      <c r="Q11" s="260"/>
      <c r="R11" s="260"/>
      <c r="S11" s="117"/>
      <c r="T11" s="331"/>
      <c r="U11" s="331"/>
      <c r="V11" s="125"/>
      <c r="W11" s="260"/>
      <c r="X11" s="260"/>
      <c r="Y11" s="260"/>
      <c r="Z11" s="260"/>
      <c r="AA11" s="260"/>
      <c r="AB11" s="260"/>
      <c r="AC11" s="260"/>
      <c r="AD11" s="260"/>
      <c r="AE11" s="260"/>
      <c r="AF11" s="260"/>
      <c r="AG11" s="260"/>
      <c r="AH11" s="260"/>
      <c r="AI11" s="260"/>
      <c r="AJ11" s="260"/>
      <c r="AK11" s="260"/>
      <c r="AL11" s="260"/>
      <c r="AM11" s="260"/>
      <c r="AN11" s="260"/>
      <c r="AO11" s="260"/>
      <c r="AP11" s="260"/>
      <c r="AQ11" s="260"/>
      <c r="AR11" s="260"/>
      <c r="AS11" s="260"/>
      <c r="AT11" s="260"/>
      <c r="AU11" s="260"/>
      <c r="AV11" s="260"/>
      <c r="AW11" s="260"/>
      <c r="AX11" s="260"/>
    </row>
    <row r="12" spans="2:50" ht="15.75" customHeight="1" x14ac:dyDescent="0.35">
      <c r="B12" s="223" t="s">
        <v>118</v>
      </c>
      <c r="C12" s="223"/>
      <c r="D12" s="223"/>
      <c r="E12" s="223"/>
      <c r="F12" s="223"/>
      <c r="G12" s="260"/>
      <c r="H12" s="260"/>
      <c r="I12" s="260"/>
      <c r="J12" s="260"/>
      <c r="K12" s="260"/>
      <c r="L12" s="260"/>
      <c r="M12" s="260"/>
      <c r="N12" s="260"/>
      <c r="O12" s="260"/>
      <c r="P12" s="260"/>
      <c r="Q12" s="260"/>
      <c r="R12" s="260"/>
      <c r="S12" s="117"/>
      <c r="T12" s="260"/>
      <c r="U12" s="260"/>
      <c r="V12" s="125"/>
      <c r="W12" s="260"/>
      <c r="X12" s="260"/>
      <c r="Y12" s="260"/>
      <c r="Z12" s="260"/>
      <c r="AA12" s="260"/>
      <c r="AB12" s="260"/>
      <c r="AC12" s="260"/>
      <c r="AD12" s="260"/>
      <c r="AE12" s="260"/>
      <c r="AF12" s="260"/>
      <c r="AG12" s="260"/>
      <c r="AH12" s="260"/>
      <c r="AI12" s="260"/>
      <c r="AJ12" s="260"/>
      <c r="AK12" s="260"/>
      <c r="AL12" s="260"/>
      <c r="AM12" s="260"/>
      <c r="AN12" s="260"/>
      <c r="AO12" s="260"/>
      <c r="AP12" s="260"/>
      <c r="AQ12" s="260"/>
      <c r="AR12" s="260"/>
      <c r="AS12" s="260"/>
      <c r="AT12" s="260"/>
      <c r="AU12" s="260"/>
      <c r="AV12" s="260"/>
      <c r="AW12" s="260"/>
      <c r="AX12" s="260"/>
    </row>
    <row r="13" spans="2:50" ht="15.75" customHeight="1" x14ac:dyDescent="0.35">
      <c r="B13" s="223" t="s">
        <v>119</v>
      </c>
      <c r="C13" s="223"/>
      <c r="D13" s="223"/>
      <c r="E13" s="223"/>
      <c r="F13" s="223"/>
      <c r="G13" s="295"/>
      <c r="H13" s="328"/>
      <c r="I13" s="328"/>
      <c r="J13" s="328"/>
      <c r="K13" s="295"/>
      <c r="L13" s="328"/>
      <c r="M13" s="328"/>
      <c r="N13" s="328"/>
      <c r="O13" s="295"/>
      <c r="P13" s="328"/>
      <c r="Q13" s="328"/>
      <c r="R13" s="328"/>
      <c r="S13" s="118"/>
      <c r="T13" s="246"/>
      <c r="U13" s="246"/>
      <c r="V13" s="126"/>
      <c r="W13" s="295"/>
      <c r="X13" s="328"/>
      <c r="Y13" s="328"/>
      <c r="Z13" s="328"/>
      <c r="AA13" s="295"/>
      <c r="AB13" s="328"/>
      <c r="AC13" s="328"/>
      <c r="AD13" s="328"/>
      <c r="AE13" s="295"/>
      <c r="AF13" s="328"/>
      <c r="AG13" s="328"/>
      <c r="AH13" s="328"/>
      <c r="AI13" s="295"/>
      <c r="AJ13" s="328"/>
      <c r="AK13" s="328"/>
      <c r="AL13" s="328"/>
      <c r="AM13" s="295"/>
      <c r="AN13" s="328"/>
      <c r="AO13" s="328"/>
      <c r="AP13" s="328"/>
      <c r="AQ13" s="295"/>
      <c r="AR13" s="328"/>
      <c r="AS13" s="328"/>
      <c r="AT13" s="328"/>
      <c r="AU13" s="295"/>
      <c r="AV13" s="328"/>
      <c r="AW13" s="328"/>
      <c r="AX13" s="328"/>
    </row>
    <row r="14" spans="2:50" ht="15.75" customHeight="1" x14ac:dyDescent="0.35">
      <c r="B14" s="223" t="s">
        <v>120</v>
      </c>
      <c r="C14" s="223"/>
      <c r="D14" s="223"/>
      <c r="E14" s="223"/>
      <c r="F14" s="223"/>
      <c r="G14" s="325"/>
      <c r="H14" s="329"/>
      <c r="I14" s="329"/>
      <c r="J14" s="329"/>
      <c r="K14" s="325"/>
      <c r="L14" s="329"/>
      <c r="M14" s="329"/>
      <c r="N14" s="329"/>
      <c r="O14" s="325"/>
      <c r="P14" s="329"/>
      <c r="Q14" s="329"/>
      <c r="R14" s="329"/>
      <c r="S14" s="119"/>
      <c r="T14" s="329"/>
      <c r="U14" s="329"/>
      <c r="V14" s="127"/>
      <c r="W14" s="325"/>
      <c r="X14" s="329"/>
      <c r="Y14" s="329"/>
      <c r="Z14" s="329"/>
      <c r="AA14" s="325"/>
      <c r="AB14" s="329"/>
      <c r="AC14" s="329"/>
      <c r="AD14" s="329"/>
      <c r="AE14" s="325"/>
      <c r="AF14" s="329"/>
      <c r="AG14" s="329"/>
      <c r="AH14" s="329"/>
      <c r="AI14" s="325"/>
      <c r="AJ14" s="329"/>
      <c r="AK14" s="329"/>
      <c r="AL14" s="329"/>
      <c r="AM14" s="325"/>
      <c r="AN14" s="329"/>
      <c r="AO14" s="329"/>
      <c r="AP14" s="329"/>
      <c r="AQ14" s="325"/>
      <c r="AR14" s="329"/>
      <c r="AS14" s="329"/>
      <c r="AT14" s="329"/>
      <c r="AU14" s="325"/>
      <c r="AV14" s="329"/>
      <c r="AW14" s="329"/>
      <c r="AX14" s="329"/>
    </row>
    <row r="15" spans="2:50" x14ac:dyDescent="0.35">
      <c r="B15" s="223" t="s">
        <v>121</v>
      </c>
      <c r="C15" s="223"/>
      <c r="D15" s="223"/>
      <c r="E15" s="223"/>
      <c r="F15" s="223"/>
      <c r="G15" s="326"/>
      <c r="H15" s="327"/>
      <c r="I15" s="327"/>
      <c r="J15" s="327"/>
      <c r="K15" s="326"/>
      <c r="L15" s="327"/>
      <c r="M15" s="327"/>
      <c r="N15" s="327"/>
      <c r="O15" s="326"/>
      <c r="P15" s="327"/>
      <c r="Q15" s="327"/>
      <c r="R15" s="327"/>
      <c r="S15" s="200"/>
      <c r="T15" s="332"/>
      <c r="U15" s="333"/>
      <c r="V15" s="116"/>
      <c r="W15" s="326"/>
      <c r="X15" s="327"/>
      <c r="Y15" s="327"/>
      <c r="Z15" s="327"/>
      <c r="AA15" s="326"/>
      <c r="AB15" s="327"/>
      <c r="AC15" s="327"/>
      <c r="AD15" s="327"/>
      <c r="AE15" s="326"/>
      <c r="AF15" s="327"/>
      <c r="AG15" s="327"/>
      <c r="AH15" s="327"/>
      <c r="AI15" s="326"/>
      <c r="AJ15" s="327"/>
      <c r="AK15" s="327"/>
      <c r="AL15" s="327"/>
      <c r="AM15" s="326"/>
      <c r="AN15" s="327"/>
      <c r="AO15" s="327"/>
      <c r="AP15" s="327"/>
      <c r="AQ15" s="326"/>
      <c r="AR15" s="327"/>
      <c r="AS15" s="327"/>
      <c r="AT15" s="327"/>
      <c r="AU15" s="326"/>
      <c r="AV15" s="327"/>
      <c r="AW15" s="327"/>
      <c r="AX15" s="327"/>
    </row>
    <row r="16" spans="2:50" x14ac:dyDescent="0.35">
      <c r="B16" s="223" t="s">
        <v>122</v>
      </c>
      <c r="C16" s="223"/>
      <c r="D16" s="223"/>
      <c r="E16" s="223"/>
      <c r="F16" s="223"/>
      <c r="G16" s="296"/>
      <c r="H16" s="246"/>
      <c r="I16" s="246"/>
      <c r="J16" s="246"/>
      <c r="K16" s="296"/>
      <c r="L16" s="246"/>
      <c r="M16" s="246"/>
      <c r="N16" s="246"/>
      <c r="O16" s="296"/>
      <c r="P16" s="246"/>
      <c r="Q16" s="246"/>
      <c r="R16" s="246"/>
      <c r="S16" s="119"/>
      <c r="T16" s="329"/>
      <c r="U16" s="329"/>
      <c r="V16" s="127"/>
      <c r="W16" s="296"/>
      <c r="X16" s="246"/>
      <c r="Y16" s="246"/>
      <c r="Z16" s="246"/>
      <c r="AA16" s="296"/>
      <c r="AB16" s="246"/>
      <c r="AC16" s="246"/>
      <c r="AD16" s="246"/>
      <c r="AE16" s="296"/>
      <c r="AF16" s="246"/>
      <c r="AG16" s="246"/>
      <c r="AH16" s="246"/>
      <c r="AI16" s="296"/>
      <c r="AJ16" s="246"/>
      <c r="AK16" s="246"/>
      <c r="AL16" s="246"/>
      <c r="AM16" s="296"/>
      <c r="AN16" s="246"/>
      <c r="AO16" s="246"/>
      <c r="AP16" s="246"/>
      <c r="AQ16" s="296"/>
      <c r="AR16" s="246"/>
      <c r="AS16" s="246"/>
      <c r="AT16" s="246"/>
      <c r="AU16" s="296"/>
      <c r="AV16" s="246"/>
      <c r="AW16" s="246"/>
      <c r="AX16" s="246"/>
    </row>
    <row r="17" spans="1:50" ht="15.75" customHeight="1" x14ac:dyDescent="0.35">
      <c r="B17" s="223" t="s">
        <v>123</v>
      </c>
      <c r="C17" s="223"/>
      <c r="D17" s="223"/>
      <c r="E17" s="223"/>
      <c r="F17" s="223"/>
      <c r="G17" s="255"/>
      <c r="H17" s="256"/>
      <c r="I17" s="256"/>
      <c r="J17" s="256"/>
      <c r="K17" s="255"/>
      <c r="L17" s="256"/>
      <c r="M17" s="256"/>
      <c r="N17" s="256"/>
      <c r="O17" s="255"/>
      <c r="P17" s="256"/>
      <c r="Q17" s="256"/>
      <c r="R17" s="256"/>
      <c r="S17" s="120"/>
      <c r="T17" s="256"/>
      <c r="U17" s="256"/>
      <c r="V17" s="128"/>
      <c r="W17" s="255"/>
      <c r="X17" s="256"/>
      <c r="Y17" s="256"/>
      <c r="Z17" s="256"/>
      <c r="AA17" s="255"/>
      <c r="AB17" s="256"/>
      <c r="AC17" s="256"/>
      <c r="AD17" s="256"/>
      <c r="AE17" s="255"/>
      <c r="AF17" s="256"/>
      <c r="AG17" s="256"/>
      <c r="AH17" s="256"/>
      <c r="AI17" s="255"/>
      <c r="AJ17" s="256"/>
      <c r="AK17" s="256"/>
      <c r="AL17" s="256"/>
      <c r="AM17" s="255"/>
      <c r="AN17" s="256"/>
      <c r="AO17" s="256"/>
      <c r="AP17" s="256"/>
      <c r="AQ17" s="255"/>
      <c r="AR17" s="256"/>
      <c r="AS17" s="256"/>
      <c r="AT17" s="256"/>
      <c r="AU17" s="255"/>
      <c r="AV17" s="256"/>
      <c r="AW17" s="256"/>
      <c r="AX17" s="256"/>
    </row>
    <row r="18" spans="1:50" ht="15.75" customHeight="1" x14ac:dyDescent="0.35">
      <c r="B18" s="223" t="s">
        <v>124</v>
      </c>
      <c r="C18" s="223"/>
      <c r="D18" s="223"/>
      <c r="E18" s="223"/>
      <c r="F18" s="223"/>
      <c r="G18" s="295"/>
      <c r="H18" s="295"/>
      <c r="I18" s="295"/>
      <c r="J18" s="295"/>
      <c r="K18" s="295"/>
      <c r="L18" s="295"/>
      <c r="M18" s="295"/>
      <c r="N18" s="295"/>
      <c r="O18" s="295"/>
      <c r="P18" s="295"/>
      <c r="Q18" s="295"/>
      <c r="R18" s="295"/>
      <c r="S18" s="121"/>
      <c r="T18" s="325"/>
      <c r="U18" s="325"/>
      <c r="V18" s="129"/>
      <c r="W18" s="295"/>
      <c r="X18" s="295"/>
      <c r="Y18" s="295"/>
      <c r="Z18" s="295"/>
      <c r="AA18" s="295"/>
      <c r="AB18" s="295"/>
      <c r="AC18" s="295"/>
      <c r="AD18" s="295"/>
      <c r="AE18" s="295"/>
      <c r="AF18" s="295"/>
      <c r="AG18" s="295"/>
      <c r="AH18" s="295"/>
      <c r="AI18" s="295"/>
      <c r="AJ18" s="295"/>
      <c r="AK18" s="295"/>
      <c r="AL18" s="295"/>
      <c r="AM18" s="295"/>
      <c r="AN18" s="295"/>
      <c r="AO18" s="295"/>
      <c r="AP18" s="295"/>
      <c r="AQ18" s="295"/>
      <c r="AR18" s="295"/>
      <c r="AS18" s="295"/>
      <c r="AT18" s="295"/>
      <c r="AU18" s="295"/>
      <c r="AV18" s="295"/>
      <c r="AW18" s="295"/>
      <c r="AX18" s="295"/>
    </row>
    <row r="19" spans="1:50" x14ac:dyDescent="0.35">
      <c r="B19" s="223" t="s">
        <v>125</v>
      </c>
      <c r="C19" s="223"/>
      <c r="D19" s="223"/>
      <c r="E19" s="223"/>
      <c r="F19" s="223"/>
      <c r="G19" s="296"/>
      <c r="H19" s="296"/>
      <c r="I19" s="325" t="str">
        <f>IFERROR(VLOOKUP(G19,country_class!$B:$D,2,FALSE),"&lt;--  select country")</f>
        <v>&lt;--  select country</v>
      </c>
      <c r="J19" s="325"/>
      <c r="K19" s="296"/>
      <c r="L19" s="296"/>
      <c r="M19" s="325" t="str">
        <f>IFERROR(VLOOKUP(K19,country_class!$B:$D,2,FALSE),"&lt;--  select country")</f>
        <v>&lt;--  select country</v>
      </c>
      <c r="N19" s="325"/>
      <c r="O19" s="296"/>
      <c r="P19" s="296"/>
      <c r="Q19" s="325" t="str">
        <f>IFERROR(VLOOKUP(O19,country_class!$B:$D,2,FALSE),"&lt;--  select country")</f>
        <v>&lt;--  select country</v>
      </c>
      <c r="R19" s="325"/>
      <c r="S19" s="121"/>
      <c r="T19" s="76"/>
      <c r="U19" s="76" t="str">
        <f>IFERROR(VLOOKUP(T19,country_class!$B:$D,2,FALSE),"&lt;--  select")</f>
        <v>&lt;--  select</v>
      </c>
      <c r="V19" s="129"/>
      <c r="W19" s="296"/>
      <c r="X19" s="296"/>
      <c r="Y19" s="325" t="str">
        <f>IFERROR(VLOOKUP(W19,country_class!$B:$D,2,FALSE),"&lt;--  select country")</f>
        <v>&lt;--  select country</v>
      </c>
      <c r="Z19" s="325"/>
      <c r="AA19" s="296"/>
      <c r="AB19" s="296"/>
      <c r="AC19" s="325" t="str">
        <f>IFERROR(VLOOKUP(AA19,country_class!$B:$D,2,FALSE),"&lt;--  select country")</f>
        <v>&lt;--  select country</v>
      </c>
      <c r="AD19" s="325"/>
      <c r="AE19" s="296"/>
      <c r="AF19" s="296"/>
      <c r="AG19" s="325" t="str">
        <f>IFERROR(VLOOKUP(AE19,country_class!$B:$D,2,FALSE),"&lt;--  select country")</f>
        <v>&lt;--  select country</v>
      </c>
      <c r="AH19" s="325"/>
      <c r="AI19" s="296"/>
      <c r="AJ19" s="296"/>
      <c r="AK19" s="325" t="str">
        <f>IFERROR(VLOOKUP(AI19,country_class!$B:$D,2,FALSE),"&lt;--  select country")</f>
        <v>&lt;--  select country</v>
      </c>
      <c r="AL19" s="325"/>
      <c r="AM19" s="296"/>
      <c r="AN19" s="296"/>
      <c r="AO19" s="325" t="str">
        <f>IFERROR(VLOOKUP(AM19,country_class!$B:$D,2,FALSE),"&lt;--  select country")</f>
        <v>&lt;--  select country</v>
      </c>
      <c r="AP19" s="325"/>
      <c r="AQ19" s="296"/>
      <c r="AR19" s="296"/>
      <c r="AS19" s="325" t="str">
        <f>IFERROR(VLOOKUP(AQ19,country_class!$B:$D,2,FALSE),"&lt;--  select country")</f>
        <v>&lt;--  select country</v>
      </c>
      <c r="AT19" s="325"/>
      <c r="AU19" s="296"/>
      <c r="AV19" s="296"/>
      <c r="AW19" s="325" t="str">
        <f>IFERROR(VLOOKUP(AU19,country_class!$B:$D,2,FALSE),"&lt;--  select country")</f>
        <v>&lt;--  select country</v>
      </c>
      <c r="AX19" s="325"/>
    </row>
    <row r="20" spans="1:50" ht="15.75" customHeight="1" x14ac:dyDescent="0.35">
      <c r="B20" s="223" t="s">
        <v>132</v>
      </c>
      <c r="C20" s="223"/>
      <c r="D20" s="223"/>
      <c r="E20" s="223"/>
      <c r="F20" s="223"/>
      <c r="G20" s="296"/>
      <c r="H20" s="296"/>
      <c r="I20" s="325" t="str">
        <f>IFERROR(VLOOKUP(G20,country_class!$B:$D,2,FALSE),"&lt;--  select country")</f>
        <v>&lt;--  select country</v>
      </c>
      <c r="J20" s="325"/>
      <c r="K20" s="296"/>
      <c r="L20" s="296"/>
      <c r="M20" s="325" t="str">
        <f>IFERROR(VLOOKUP(K20,country_class!$B:$D,2,FALSE),"&lt;--  select country")</f>
        <v>&lt;--  select country</v>
      </c>
      <c r="N20" s="325"/>
      <c r="O20" s="296"/>
      <c r="P20" s="296"/>
      <c r="Q20" s="325" t="str">
        <f>IFERROR(VLOOKUP(O20,country_class!$B:$D,2,FALSE),"&lt;--  select country")</f>
        <v>&lt;--  select country</v>
      </c>
      <c r="R20" s="325"/>
      <c r="S20" s="121"/>
      <c r="T20" s="76"/>
      <c r="U20" s="76" t="str">
        <f>IFERROR(VLOOKUP(T20,country_class!$B:$D,2,FALSE),"&lt;--  select")</f>
        <v>&lt;--  select</v>
      </c>
      <c r="V20" s="129"/>
      <c r="W20" s="296"/>
      <c r="X20" s="296"/>
      <c r="Y20" s="325" t="str">
        <f>IFERROR(VLOOKUP(W20,country_class!$B:$D,2,FALSE),"&lt;--  select country")</f>
        <v>&lt;--  select country</v>
      </c>
      <c r="Z20" s="325"/>
      <c r="AA20" s="296"/>
      <c r="AB20" s="296"/>
      <c r="AC20" s="325" t="str">
        <f>IFERROR(VLOOKUP(AA20,country_class!$B:$D,2,FALSE),"&lt;--  select country")</f>
        <v>&lt;--  select country</v>
      </c>
      <c r="AD20" s="325"/>
      <c r="AE20" s="296"/>
      <c r="AF20" s="296"/>
      <c r="AG20" s="325" t="str">
        <f>IFERROR(VLOOKUP(AE20,country_class!$B:$D,2,FALSE),"&lt;--  select country")</f>
        <v>&lt;--  select country</v>
      </c>
      <c r="AH20" s="325"/>
      <c r="AI20" s="296"/>
      <c r="AJ20" s="296"/>
      <c r="AK20" s="325" t="str">
        <f>IFERROR(VLOOKUP(AI20,country_class!$B:$D,2,FALSE),"&lt;--  select country")</f>
        <v>&lt;--  select country</v>
      </c>
      <c r="AL20" s="325"/>
      <c r="AM20" s="296"/>
      <c r="AN20" s="296"/>
      <c r="AO20" s="325" t="str">
        <f>IFERROR(VLOOKUP(AM20,country_class!$B:$D,2,FALSE),"&lt;--  select country")</f>
        <v>&lt;--  select country</v>
      </c>
      <c r="AP20" s="325"/>
      <c r="AQ20" s="296"/>
      <c r="AR20" s="296"/>
      <c r="AS20" s="325" t="str">
        <f>IFERROR(VLOOKUP(AQ20,country_class!$B:$D,2,FALSE),"&lt;--  select country")</f>
        <v>&lt;--  select country</v>
      </c>
      <c r="AT20" s="325"/>
      <c r="AU20" s="296"/>
      <c r="AV20" s="296"/>
      <c r="AW20" s="325" t="str">
        <f>IFERROR(VLOOKUP(AU20,country_class!$B:$D,2,FALSE),"&lt;--  select country")</f>
        <v>&lt;--  select country</v>
      </c>
      <c r="AX20" s="325"/>
    </row>
    <row r="21" spans="1:50" ht="17.25" customHeight="1" x14ac:dyDescent="0.35">
      <c r="B21" s="267" t="s">
        <v>136</v>
      </c>
      <c r="C21" s="268"/>
      <c r="D21" s="268"/>
      <c r="E21" s="268"/>
      <c r="F21" s="269"/>
      <c r="G21" s="354"/>
      <c r="H21" s="354"/>
      <c r="I21" s="354"/>
      <c r="J21" s="354"/>
      <c r="K21" s="298"/>
      <c r="L21" s="298"/>
      <c r="M21" s="298"/>
      <c r="N21" s="298"/>
      <c r="O21" s="298"/>
      <c r="P21" s="298"/>
      <c r="Q21" s="298"/>
      <c r="R21" s="298"/>
      <c r="S21" s="122"/>
      <c r="T21" s="297"/>
      <c r="U21" s="297"/>
      <c r="V21" s="130"/>
      <c r="W21" s="298"/>
      <c r="X21" s="298"/>
      <c r="Y21" s="298"/>
      <c r="Z21" s="298"/>
      <c r="AA21" s="298"/>
      <c r="AB21" s="298"/>
      <c r="AC21" s="298"/>
      <c r="AD21" s="298"/>
      <c r="AE21" s="298"/>
      <c r="AF21" s="298"/>
      <c r="AG21" s="298"/>
      <c r="AH21" s="298"/>
      <c r="AI21" s="298"/>
      <c r="AJ21" s="298"/>
      <c r="AK21" s="298"/>
      <c r="AL21" s="298"/>
      <c r="AM21" s="298"/>
      <c r="AN21" s="298"/>
      <c r="AO21" s="298"/>
      <c r="AP21" s="298"/>
      <c r="AQ21" s="298"/>
      <c r="AR21" s="298"/>
      <c r="AS21" s="298"/>
      <c r="AT21" s="298"/>
      <c r="AU21" s="298"/>
      <c r="AV21" s="298"/>
      <c r="AW21" s="298"/>
      <c r="AX21" s="298"/>
    </row>
    <row r="22" spans="1:50" ht="17.25" customHeight="1" x14ac:dyDescent="0.35">
      <c r="B22" s="267" t="s">
        <v>137</v>
      </c>
      <c r="C22" s="268"/>
      <c r="D22" s="268"/>
      <c r="E22" s="268"/>
      <c r="F22" s="269"/>
      <c r="G22" s="354"/>
      <c r="H22" s="354"/>
      <c r="I22" s="354"/>
      <c r="J22" s="354"/>
      <c r="K22" s="298"/>
      <c r="L22" s="298"/>
      <c r="M22" s="298"/>
      <c r="N22" s="298"/>
      <c r="O22" s="298"/>
      <c r="P22" s="298"/>
      <c r="Q22" s="298"/>
      <c r="R22" s="298"/>
      <c r="S22" s="122"/>
      <c r="T22" s="297"/>
      <c r="U22" s="297"/>
      <c r="V22" s="130"/>
      <c r="W22" s="298"/>
      <c r="X22" s="298"/>
      <c r="Y22" s="298"/>
      <c r="Z22" s="298"/>
      <c r="AA22" s="298"/>
      <c r="AB22" s="298"/>
      <c r="AC22" s="298"/>
      <c r="AD22" s="298"/>
      <c r="AE22" s="298"/>
      <c r="AF22" s="298"/>
      <c r="AG22" s="298"/>
      <c r="AH22" s="298"/>
      <c r="AI22" s="298"/>
      <c r="AJ22" s="298"/>
      <c r="AK22" s="298"/>
      <c r="AL22" s="298"/>
      <c r="AM22" s="298"/>
      <c r="AN22" s="298"/>
      <c r="AO22" s="298"/>
      <c r="AP22" s="298"/>
      <c r="AQ22" s="298"/>
      <c r="AR22" s="298"/>
      <c r="AS22" s="298"/>
      <c r="AT22" s="298"/>
      <c r="AU22" s="298"/>
      <c r="AV22" s="298"/>
      <c r="AW22" s="298"/>
      <c r="AX22" s="298"/>
    </row>
    <row r="23" spans="1:50" ht="17.25" customHeight="1" x14ac:dyDescent="0.35">
      <c r="B23" s="267" t="s">
        <v>138</v>
      </c>
      <c r="C23" s="268"/>
      <c r="D23" s="268"/>
      <c r="E23" s="268"/>
      <c r="F23" s="269"/>
      <c r="G23" s="354"/>
      <c r="H23" s="354"/>
      <c r="I23" s="354"/>
      <c r="J23" s="354"/>
      <c r="K23" s="298"/>
      <c r="L23" s="298"/>
      <c r="M23" s="298"/>
      <c r="N23" s="298"/>
      <c r="O23" s="298"/>
      <c r="P23" s="298"/>
      <c r="Q23" s="298"/>
      <c r="R23" s="298"/>
      <c r="S23" s="122"/>
      <c r="T23" s="297"/>
      <c r="U23" s="297"/>
      <c r="V23" s="130"/>
      <c r="W23" s="298"/>
      <c r="X23" s="298"/>
      <c r="Y23" s="298"/>
      <c r="Z23" s="298"/>
      <c r="AA23" s="298"/>
      <c r="AB23" s="298"/>
      <c r="AC23" s="298"/>
      <c r="AD23" s="298"/>
      <c r="AE23" s="298"/>
      <c r="AF23" s="298"/>
      <c r="AG23" s="298"/>
      <c r="AH23" s="298"/>
      <c r="AI23" s="298"/>
      <c r="AJ23" s="298"/>
      <c r="AK23" s="298"/>
      <c r="AL23" s="298"/>
      <c r="AM23" s="298"/>
      <c r="AN23" s="298"/>
      <c r="AO23" s="298"/>
      <c r="AP23" s="298"/>
      <c r="AQ23" s="298"/>
      <c r="AR23" s="298"/>
      <c r="AS23" s="298"/>
      <c r="AT23" s="298"/>
      <c r="AU23" s="298"/>
      <c r="AV23" s="298"/>
      <c r="AW23" s="298"/>
      <c r="AX23" s="298"/>
    </row>
    <row r="24" spans="1:50" ht="17.25" customHeight="1" x14ac:dyDescent="0.35">
      <c r="B24" s="267" t="s">
        <v>139</v>
      </c>
      <c r="C24" s="268"/>
      <c r="D24" s="268"/>
      <c r="E24" s="268"/>
      <c r="F24" s="269"/>
      <c r="G24" s="354"/>
      <c r="H24" s="354"/>
      <c r="I24" s="354"/>
      <c r="J24" s="354"/>
      <c r="K24" s="298"/>
      <c r="L24" s="298"/>
      <c r="M24" s="298"/>
      <c r="N24" s="298"/>
      <c r="O24" s="298"/>
      <c r="P24" s="298"/>
      <c r="Q24" s="298"/>
      <c r="R24" s="298"/>
      <c r="S24" s="122"/>
      <c r="T24" s="297"/>
      <c r="U24" s="297"/>
      <c r="V24" s="130"/>
      <c r="W24" s="298"/>
      <c r="X24" s="298"/>
      <c r="Y24" s="298"/>
      <c r="Z24" s="298"/>
      <c r="AA24" s="298"/>
      <c r="AB24" s="298"/>
      <c r="AC24" s="298"/>
      <c r="AD24" s="298"/>
      <c r="AE24" s="298"/>
      <c r="AF24" s="298"/>
      <c r="AG24" s="298"/>
      <c r="AH24" s="298"/>
      <c r="AI24" s="298"/>
      <c r="AJ24" s="298"/>
      <c r="AK24" s="298"/>
      <c r="AL24" s="298"/>
      <c r="AM24" s="298"/>
      <c r="AN24" s="298"/>
      <c r="AO24" s="298"/>
      <c r="AP24" s="298"/>
      <c r="AQ24" s="298"/>
      <c r="AR24" s="298"/>
      <c r="AS24" s="298"/>
      <c r="AT24" s="298"/>
      <c r="AU24" s="298"/>
      <c r="AV24" s="298"/>
      <c r="AW24" s="298"/>
      <c r="AX24" s="298"/>
    </row>
    <row r="25" spans="1:50" ht="17.25" customHeight="1" x14ac:dyDescent="0.35">
      <c r="B25" s="267" t="s">
        <v>140</v>
      </c>
      <c r="C25" s="268"/>
      <c r="D25" s="268"/>
      <c r="E25" s="268"/>
      <c r="F25" s="269"/>
      <c r="G25" s="354"/>
      <c r="H25" s="354"/>
      <c r="I25" s="354"/>
      <c r="J25" s="354"/>
      <c r="K25" s="298"/>
      <c r="L25" s="298"/>
      <c r="M25" s="298"/>
      <c r="N25" s="298"/>
      <c r="O25" s="298"/>
      <c r="P25" s="298"/>
      <c r="Q25" s="298"/>
      <c r="R25" s="298"/>
      <c r="S25" s="122"/>
      <c r="T25" s="297"/>
      <c r="U25" s="297"/>
      <c r="V25" s="130"/>
      <c r="W25" s="298"/>
      <c r="X25" s="298"/>
      <c r="Y25" s="298"/>
      <c r="Z25" s="298"/>
      <c r="AA25" s="298"/>
      <c r="AB25" s="298"/>
      <c r="AC25" s="298"/>
      <c r="AD25" s="298"/>
      <c r="AE25" s="298"/>
      <c r="AF25" s="298"/>
      <c r="AG25" s="298"/>
      <c r="AH25" s="298"/>
      <c r="AI25" s="298"/>
      <c r="AJ25" s="298"/>
      <c r="AK25" s="298"/>
      <c r="AL25" s="298"/>
      <c r="AM25" s="298"/>
      <c r="AN25" s="298"/>
      <c r="AO25" s="298"/>
      <c r="AP25" s="298"/>
      <c r="AQ25" s="298"/>
      <c r="AR25" s="298"/>
      <c r="AS25" s="298"/>
      <c r="AT25" s="298"/>
      <c r="AU25" s="298"/>
      <c r="AV25" s="298"/>
      <c r="AW25" s="298"/>
      <c r="AX25" s="298"/>
    </row>
    <row r="26" spans="1:50" ht="17.25" customHeight="1" x14ac:dyDescent="0.35">
      <c r="B26" s="267" t="s">
        <v>141</v>
      </c>
      <c r="C26" s="268"/>
      <c r="D26" s="268"/>
      <c r="E26" s="268"/>
      <c r="F26" s="269"/>
      <c r="G26" s="354"/>
      <c r="H26" s="354"/>
      <c r="I26" s="354"/>
      <c r="J26" s="354"/>
      <c r="K26" s="298"/>
      <c r="L26" s="298"/>
      <c r="M26" s="298"/>
      <c r="N26" s="298"/>
      <c r="O26" s="298"/>
      <c r="P26" s="298"/>
      <c r="Q26" s="298"/>
      <c r="R26" s="298"/>
      <c r="S26" s="122"/>
      <c r="T26" s="297"/>
      <c r="U26" s="297"/>
      <c r="V26" s="130"/>
      <c r="W26" s="298"/>
      <c r="X26" s="298"/>
      <c r="Y26" s="298"/>
      <c r="Z26" s="298"/>
      <c r="AA26" s="298"/>
      <c r="AB26" s="298"/>
      <c r="AC26" s="298"/>
      <c r="AD26" s="298"/>
      <c r="AE26" s="298"/>
      <c r="AF26" s="298"/>
      <c r="AG26" s="298"/>
      <c r="AH26" s="298"/>
      <c r="AI26" s="298"/>
      <c r="AJ26" s="298"/>
      <c r="AK26" s="298"/>
      <c r="AL26" s="298"/>
      <c r="AM26" s="298"/>
      <c r="AN26" s="298"/>
      <c r="AO26" s="298"/>
      <c r="AP26" s="298"/>
      <c r="AQ26" s="298"/>
      <c r="AR26" s="298"/>
      <c r="AS26" s="298"/>
      <c r="AT26" s="298"/>
      <c r="AU26" s="298"/>
      <c r="AV26" s="298"/>
      <c r="AW26" s="298"/>
      <c r="AX26" s="298"/>
    </row>
    <row r="27" spans="1:50" ht="17.25" customHeight="1" x14ac:dyDescent="0.35">
      <c r="B27" s="267" t="s">
        <v>142</v>
      </c>
      <c r="C27" s="268"/>
      <c r="D27" s="268"/>
      <c r="E27" s="268"/>
      <c r="F27" s="269"/>
      <c r="G27" s="297">
        <f>'Supp 1 risk'!D6</f>
        <v>0</v>
      </c>
      <c r="H27" s="297"/>
      <c r="I27" s="297"/>
      <c r="J27" s="297"/>
      <c r="K27" s="297">
        <f>'Supp 2 risk'!D6</f>
        <v>0</v>
      </c>
      <c r="L27" s="297"/>
      <c r="M27" s="297"/>
      <c r="N27" s="297"/>
      <c r="O27" s="297">
        <f>'Supp 3 risk'!D6</f>
        <v>0</v>
      </c>
      <c r="P27" s="297"/>
      <c r="Q27" s="297"/>
      <c r="R27" s="297"/>
      <c r="S27" s="122"/>
      <c r="T27" s="297"/>
      <c r="U27" s="297"/>
      <c r="V27" s="130"/>
      <c r="W27" s="297">
        <f>'Supp 4 risk'!D6</f>
        <v>0</v>
      </c>
      <c r="X27" s="297"/>
      <c r="Y27" s="297"/>
      <c r="Z27" s="297"/>
      <c r="AA27" s="297">
        <f>'Supp 5 risk'!D6</f>
        <v>0</v>
      </c>
      <c r="AB27" s="297"/>
      <c r="AC27" s="297"/>
      <c r="AD27" s="297"/>
      <c r="AE27" s="297">
        <f>'Supp 6 risk'!D6</f>
        <v>0</v>
      </c>
      <c r="AF27" s="297"/>
      <c r="AG27" s="297"/>
      <c r="AH27" s="297"/>
      <c r="AI27" s="297">
        <f>'Supp 7 risk'!D6</f>
        <v>0</v>
      </c>
      <c r="AJ27" s="297"/>
      <c r="AK27" s="297"/>
      <c r="AL27" s="297"/>
      <c r="AM27" s="297">
        <f>'Supp 8 risk'!D6</f>
        <v>0</v>
      </c>
      <c r="AN27" s="297"/>
      <c r="AO27" s="297"/>
      <c r="AP27" s="297"/>
      <c r="AQ27" s="297">
        <f>'Supp 9 risk'!D6</f>
        <v>0</v>
      </c>
      <c r="AR27" s="297"/>
      <c r="AS27" s="297"/>
      <c r="AT27" s="297"/>
      <c r="AU27" s="297">
        <f>'Supp 10 risk'!D6</f>
        <v>0</v>
      </c>
      <c r="AV27" s="297"/>
      <c r="AW27" s="297"/>
      <c r="AX27" s="297"/>
    </row>
    <row r="28" spans="1:50" ht="15.75" customHeight="1" x14ac:dyDescent="0.35">
      <c r="B28" s="223" t="s">
        <v>143</v>
      </c>
      <c r="C28" s="223"/>
      <c r="D28" s="199"/>
      <c r="E28" s="223" t="s">
        <v>145</v>
      </c>
      <c r="F28" s="223"/>
      <c r="G28" s="296"/>
      <c r="H28" s="296"/>
      <c r="I28" s="340" t="str">
        <f>IF(G28="","&lt;-- select currency",IF($D$28="","Select curr in D28",IFERROR(VLOOKUP(G28,'6. exchange_rates'!$C$3:$E$35,3,FALSE)/VLOOKUP($D$28,'6. exchange_rates'!$C$3:$E$35,3,FALSE),"&lt;-- select currency")))</f>
        <v>&lt;-- select currency</v>
      </c>
      <c r="J28" s="340"/>
      <c r="K28" s="325"/>
      <c r="L28" s="325"/>
      <c r="M28" s="340" t="str">
        <f>IF(K28="","&lt;-- select currency",IF($D$28="","Select curr in D28",IFERROR(VLOOKUP(K28,'6. exchange_rates'!$C$3:$E$35,3,FALSE)/VLOOKUP($D$28,'6. exchange_rates'!$C$3:$E$35,3,FALSE),"&lt;-- select currency")))</f>
        <v>&lt;-- select currency</v>
      </c>
      <c r="N28" s="340"/>
      <c r="O28" s="325"/>
      <c r="P28" s="325"/>
      <c r="Q28" s="340" t="str">
        <f>IF(O28="","&lt;-- select currency",IF($D$28="","Select curr in D28",IFERROR(VLOOKUP(O28,'6. exchange_rates'!$C$3:$E$35,3,FALSE)/VLOOKUP($D$28,'6. exchange_rates'!$C$3:$E$35,3,FALSE),"&lt;-- select currency")))</f>
        <v>&lt;-- select currency</v>
      </c>
      <c r="R28" s="340"/>
      <c r="S28" s="123"/>
      <c r="T28" s="77"/>
      <c r="U28" s="77" t="str">
        <f>IF(T28="","&lt;-- select currency",IF($D$28="","Select curr in D28",IFERROR(VLOOKUP(T28,'6. exchange_rates'!$C$3:$E$35,3,FALSE)/VLOOKUP($D$28,'6. exchange_rates'!$C$3:$E$35,3,FALSE),"&lt;-- select currency")))</f>
        <v>&lt;-- select currency</v>
      </c>
      <c r="V28" s="131"/>
      <c r="W28" s="325"/>
      <c r="X28" s="325"/>
      <c r="Y28" s="340" t="str">
        <f>IF(W28="","&lt;-- select currency",IF($D$28="","Select curr in D28",IFERROR(VLOOKUP(W28,'6. exchange_rates'!$C$3:$E$35,3,FALSE)/VLOOKUP($D$28,'6. exchange_rates'!$C$3:$E$35,3,FALSE),"&lt;-- select currency")))</f>
        <v>&lt;-- select currency</v>
      </c>
      <c r="Z28" s="340"/>
      <c r="AA28" s="325"/>
      <c r="AB28" s="325"/>
      <c r="AC28" s="340" t="str">
        <f>IF(AA28="","&lt;-- select currency",IF($D$28="","Select curr in D28",IFERROR(VLOOKUP(AA28,'6. exchange_rates'!$C$3:$E$35,3,FALSE)/VLOOKUP($D$28,'6. exchange_rates'!$C$3:$E$35,3,FALSE),"&lt;-- select currency")))</f>
        <v>&lt;-- select currency</v>
      </c>
      <c r="AD28" s="340"/>
      <c r="AE28" s="325"/>
      <c r="AF28" s="325"/>
      <c r="AG28" s="340" t="str">
        <f>IF(AE28="","&lt;-- select currency",IF($D$28="","Select curr in D28",IFERROR(VLOOKUP(AE28,'6. exchange_rates'!$C$3:$E$35,3,FALSE)/VLOOKUP($D$28,'6. exchange_rates'!$C$3:$E$35,3,FALSE),"&lt;-- select currency")))</f>
        <v>&lt;-- select currency</v>
      </c>
      <c r="AH28" s="340"/>
      <c r="AI28" s="325"/>
      <c r="AJ28" s="325"/>
      <c r="AK28" s="340" t="str">
        <f>IF(AI28="","&lt;-- select currency",IF($D$28="","Select curr in D28",IFERROR(VLOOKUP(AI28,'6. exchange_rates'!$C$3:$E$35,3,FALSE)/VLOOKUP($D$28,'6. exchange_rates'!$C$3:$E$35,3,FALSE),"&lt;-- select currency")))</f>
        <v>&lt;-- select currency</v>
      </c>
      <c r="AL28" s="340"/>
      <c r="AM28" s="325"/>
      <c r="AN28" s="325"/>
      <c r="AO28" s="340" t="str">
        <f>IF(AM28="","&lt;-- select currency",IF($D$28="","Select curr in D28",IFERROR(VLOOKUP(AM28,'6. exchange_rates'!$C$3:$E$35,3,FALSE)/VLOOKUP($D$28,'6. exchange_rates'!$C$3:$E$35,3,FALSE),"&lt;-- select currency")))</f>
        <v>&lt;-- select currency</v>
      </c>
      <c r="AP28" s="340"/>
      <c r="AQ28" s="325"/>
      <c r="AR28" s="325"/>
      <c r="AS28" s="340" t="str">
        <f>IF(AQ28="","&lt;-- select currency",IF($D$28="","Select curr in D28",IFERROR(VLOOKUP(AQ28,'6. exchange_rates'!$C$3:$E$35,3,FALSE)/VLOOKUP($D$28,'6. exchange_rates'!$C$3:$E$35,3,FALSE),"&lt;-- select currency")))</f>
        <v>&lt;-- select currency</v>
      </c>
      <c r="AT28" s="340"/>
      <c r="AU28" s="325"/>
      <c r="AV28" s="325"/>
      <c r="AW28" s="340" t="str">
        <f>IF(AU28="","&lt;-- select currency",IF($D$28="","Select curr in D28",IFERROR(VLOOKUP(AU28,'6. exchange_rates'!$C$3:$E$35,3,FALSE)/VLOOKUP($D$28,'6. exchange_rates'!$C$3:$E$35,3,FALSE),"&lt;-- select currency")))</f>
        <v>&lt;-- select currency</v>
      </c>
      <c r="AX28" s="340"/>
    </row>
    <row r="29" spans="1:50" ht="44.25" customHeight="1" x14ac:dyDescent="0.35">
      <c r="B29" s="341" t="s">
        <v>148</v>
      </c>
      <c r="C29" s="341"/>
      <c r="D29" s="154" t="s">
        <v>149</v>
      </c>
      <c r="E29" s="153" t="s">
        <v>150</v>
      </c>
      <c r="F29" s="154" t="s">
        <v>151</v>
      </c>
      <c r="G29" s="154" t="s">
        <v>152</v>
      </c>
      <c r="H29" s="154" t="s">
        <v>153</v>
      </c>
      <c r="I29" s="154" t="s">
        <v>154</v>
      </c>
      <c r="J29" s="154" t="s">
        <v>155</v>
      </c>
      <c r="K29" s="154" t="s">
        <v>152</v>
      </c>
      <c r="L29" s="154" t="s">
        <v>153</v>
      </c>
      <c r="M29" s="154" t="s">
        <v>154</v>
      </c>
      <c r="N29" s="154" t="s">
        <v>155</v>
      </c>
      <c r="O29" s="154" t="s">
        <v>152</v>
      </c>
      <c r="P29" s="154" t="s">
        <v>153</v>
      </c>
      <c r="Q29" s="154" t="s">
        <v>154</v>
      </c>
      <c r="R29" s="154" t="s">
        <v>155</v>
      </c>
      <c r="S29" s="155"/>
      <c r="T29" s="154" t="s">
        <v>156</v>
      </c>
      <c r="U29" s="154" t="s">
        <v>155</v>
      </c>
      <c r="V29" s="156"/>
      <c r="W29" s="154" t="s">
        <v>152</v>
      </c>
      <c r="X29" s="154" t="s">
        <v>153</v>
      </c>
      <c r="Y29" s="154" t="s">
        <v>154</v>
      </c>
      <c r="Z29" s="154" t="s">
        <v>155</v>
      </c>
      <c r="AA29" s="154" t="s">
        <v>152</v>
      </c>
      <c r="AB29" s="154" t="s">
        <v>153</v>
      </c>
      <c r="AC29" s="154" t="s">
        <v>154</v>
      </c>
      <c r="AD29" s="154" t="s">
        <v>155</v>
      </c>
      <c r="AE29" s="154" t="s">
        <v>152</v>
      </c>
      <c r="AF29" s="154" t="s">
        <v>153</v>
      </c>
      <c r="AG29" s="154" t="s">
        <v>154</v>
      </c>
      <c r="AH29" s="154" t="s">
        <v>155</v>
      </c>
      <c r="AI29" s="154" t="s">
        <v>152</v>
      </c>
      <c r="AJ29" s="154" t="s">
        <v>153</v>
      </c>
      <c r="AK29" s="154" t="s">
        <v>154</v>
      </c>
      <c r="AL29" s="154" t="s">
        <v>155</v>
      </c>
      <c r="AM29" s="154" t="s">
        <v>152</v>
      </c>
      <c r="AN29" s="154" t="s">
        <v>153</v>
      </c>
      <c r="AO29" s="154" t="s">
        <v>154</v>
      </c>
      <c r="AP29" s="154" t="s">
        <v>155</v>
      </c>
      <c r="AQ29" s="154" t="s">
        <v>152</v>
      </c>
      <c r="AR29" s="154" t="s">
        <v>153</v>
      </c>
      <c r="AS29" s="154" t="s">
        <v>154</v>
      </c>
      <c r="AT29" s="154" t="s">
        <v>155</v>
      </c>
      <c r="AU29" s="154" t="s">
        <v>152</v>
      </c>
      <c r="AV29" s="154" t="s">
        <v>153</v>
      </c>
      <c r="AW29" s="154" t="s">
        <v>154</v>
      </c>
      <c r="AX29" s="154" t="s">
        <v>155</v>
      </c>
    </row>
    <row r="30" spans="1:50" s="217" customFormat="1" x14ac:dyDescent="0.35">
      <c r="A30" s="192"/>
      <c r="B30" s="201">
        <v>1</v>
      </c>
      <c r="C30" s="218"/>
      <c r="D30" s="115"/>
      <c r="E30" s="115"/>
      <c r="F30" s="115"/>
      <c r="G30" s="203"/>
      <c r="H30" s="18"/>
      <c r="I30" s="18"/>
      <c r="J30" s="202" t="str">
        <f>IF($F30="", "", IF(AND(G30="", H30="", I30=""), "", $F30 * IF(I30&lt;&gt;"", I30, IF(H30&lt;&gt;"", H30, G30))))</f>
        <v/>
      </c>
      <c r="K30" s="203"/>
      <c r="L30" s="18"/>
      <c r="M30" s="18"/>
      <c r="N30" s="202" t="str">
        <f>IF($F30="", "", IF(AND(K30="", L30="", M30=""), "", $F30 * IF(M30&lt;&gt;"", M30, IF(L30&lt;&gt;"", L30, K30))))</f>
        <v/>
      </c>
      <c r="O30" s="203"/>
      <c r="P30" s="18"/>
      <c r="Q30" s="18"/>
      <c r="R30" s="202" t="str">
        <f t="shared" ref="R30:R37" si="0">IF($F30="", "", IF(AND(O30="", P30="", Q30=""), "", $F30 * IF(Q30&lt;&gt;"", Q30, IF(P30&lt;&gt;"", P30, O30))))</f>
        <v/>
      </c>
      <c r="S30" s="204"/>
      <c r="T30" s="18"/>
      <c r="U30" s="202" t="str">
        <f t="shared" ref="U30:U37" si="1">IF(OR($F30=0, T30=""), "", T30*$F30)</f>
        <v/>
      </c>
      <c r="V30" s="205"/>
      <c r="W30" s="203"/>
      <c r="X30" s="18"/>
      <c r="Y30" s="18"/>
      <c r="Z30" s="202" t="str">
        <f t="shared" ref="Z30:Z37" si="2">IF($F30="", "", IF(AND(W30="", X30="", Y30=""), "", $F30 * IF(Y30&lt;&gt;"", Y30, IF(X30&lt;&gt;"", X30, W30))))</f>
        <v/>
      </c>
      <c r="AA30" s="203"/>
      <c r="AB30" s="18"/>
      <c r="AC30" s="18"/>
      <c r="AD30" s="202" t="str">
        <f t="shared" ref="AD30:AD37" si="3">IF($F30="", "", IF(AND(AA30="", AB30="", AC30=""), "", $F30 * IF(AC30&lt;&gt;"", AC30, IF(AB30&lt;&gt;"", AB30, AA30))))</f>
        <v/>
      </c>
      <c r="AE30" s="203"/>
      <c r="AF30" s="18"/>
      <c r="AG30" s="18"/>
      <c r="AH30" s="202" t="str">
        <f t="shared" ref="AH30:AH37" si="4">IF($F30="", "", IF(AND(AE30="", AF30="", AG30=""), "", $F30 * IF(AG30&lt;&gt;"", AG30, IF(AF30&lt;&gt;"", AF30, AE30))))</f>
        <v/>
      </c>
      <c r="AI30" s="203"/>
      <c r="AJ30" s="18"/>
      <c r="AK30" s="18"/>
      <c r="AL30" s="202" t="str">
        <f t="shared" ref="AL30:AL37" si="5">IF($F30="", "", IF(AND(AI30="", AJ30="", AK30=""), "", $F30 * IF(AK30&lt;&gt;"", AK30, IF(AJ30&lt;&gt;"", AJ30, AI30))))</f>
        <v/>
      </c>
      <c r="AM30" s="203"/>
      <c r="AN30" s="18"/>
      <c r="AO30" s="18"/>
      <c r="AP30" s="202" t="str">
        <f t="shared" ref="AP30:AP37" si="6">IF($F30="", "", IF(AND(AM30="", AN30="", AO30=""), "", $F30 * IF(AO30&lt;&gt;"", AO30, IF(AN30&lt;&gt;"", AN30, AM30))))</f>
        <v/>
      </c>
      <c r="AQ30" s="203"/>
      <c r="AR30" s="18"/>
      <c r="AS30" s="18"/>
      <c r="AT30" s="202" t="str">
        <f t="shared" ref="AT30:AT37" si="7">IF($F30="", "", IF(AND(AQ30="", AR30="", AS30=""), "", $F30 * IF(AS30&lt;&gt;"", AS30, IF(AR30&lt;&gt;"", AR30, AQ30))))</f>
        <v/>
      </c>
      <c r="AU30" s="203"/>
      <c r="AV30" s="203"/>
      <c r="AW30" s="18"/>
      <c r="AX30" s="202" t="str">
        <f t="shared" ref="AX30:AX37" si="8">IF($F30="", "", IF(AND(AU30="", AV30="", AW30=""), "", $F30 * IF(AW30&lt;&gt;"", AW30, IF(AV30&lt;&gt;"", AV30, AU30))))</f>
        <v/>
      </c>
    </row>
    <row r="31" spans="1:50" s="217" customFormat="1" x14ac:dyDescent="0.35">
      <c r="B31" s="201">
        <v>2</v>
      </c>
      <c r="C31" s="218"/>
      <c r="D31" s="115"/>
      <c r="E31" s="115"/>
      <c r="F31" s="115"/>
      <c r="G31" s="203"/>
      <c r="H31" s="18"/>
      <c r="I31" s="18"/>
      <c r="J31" s="202" t="str">
        <f t="shared" ref="J31:J37" si="9">IF($F31="", "", IF(AND(G31="", H31="", I31=""), "", $F31 * IF(I31&lt;&gt;"", I31, IF(H31&lt;&gt;"", H31, G31))))</f>
        <v/>
      </c>
      <c r="K31" s="203"/>
      <c r="L31" s="18"/>
      <c r="M31" s="18"/>
      <c r="N31" s="202" t="str">
        <f t="shared" ref="N31:N37" si="10">IF($F31="", "", IF(AND(K31="", L31="", M31=""), "", $F31 * IF(M31&lt;&gt;"", M31, IF(L31&lt;&gt;"", L31, K31))))</f>
        <v/>
      </c>
      <c r="O31" s="203"/>
      <c r="P31" s="18"/>
      <c r="Q31" s="18"/>
      <c r="R31" s="202" t="str">
        <f t="shared" si="0"/>
        <v/>
      </c>
      <c r="S31" s="204"/>
      <c r="T31" s="18"/>
      <c r="U31" s="202" t="str">
        <f t="shared" si="1"/>
        <v/>
      </c>
      <c r="V31" s="205"/>
      <c r="W31" s="203"/>
      <c r="X31" s="18"/>
      <c r="Y31" s="18"/>
      <c r="Z31" s="202" t="str">
        <f t="shared" si="2"/>
        <v/>
      </c>
      <c r="AA31" s="203"/>
      <c r="AB31" s="18"/>
      <c r="AC31" s="18"/>
      <c r="AD31" s="202" t="str">
        <f t="shared" si="3"/>
        <v/>
      </c>
      <c r="AE31" s="203"/>
      <c r="AF31" s="18"/>
      <c r="AG31" s="18"/>
      <c r="AH31" s="202" t="str">
        <f t="shared" si="4"/>
        <v/>
      </c>
      <c r="AI31" s="203"/>
      <c r="AJ31" s="18"/>
      <c r="AK31" s="18"/>
      <c r="AL31" s="202" t="str">
        <f t="shared" si="5"/>
        <v/>
      </c>
      <c r="AM31" s="203"/>
      <c r="AN31" s="18"/>
      <c r="AO31" s="18"/>
      <c r="AP31" s="202" t="str">
        <f t="shared" si="6"/>
        <v/>
      </c>
      <c r="AQ31" s="203"/>
      <c r="AR31" s="18"/>
      <c r="AS31" s="18"/>
      <c r="AT31" s="202" t="str">
        <f t="shared" si="7"/>
        <v/>
      </c>
      <c r="AU31" s="203"/>
      <c r="AV31" s="203"/>
      <c r="AW31" s="18"/>
      <c r="AX31" s="202" t="str">
        <f t="shared" si="8"/>
        <v/>
      </c>
    </row>
    <row r="32" spans="1:50" s="217" customFormat="1" x14ac:dyDescent="0.35">
      <c r="B32" s="201">
        <v>3</v>
      </c>
      <c r="C32" s="218"/>
      <c r="D32" s="115"/>
      <c r="E32" s="115"/>
      <c r="F32" s="115"/>
      <c r="G32" s="203"/>
      <c r="H32" s="18"/>
      <c r="I32" s="18"/>
      <c r="J32" s="202" t="str">
        <f t="shared" si="9"/>
        <v/>
      </c>
      <c r="K32" s="203"/>
      <c r="L32" s="18"/>
      <c r="M32" s="18"/>
      <c r="N32" s="202" t="str">
        <f t="shared" si="10"/>
        <v/>
      </c>
      <c r="O32" s="203"/>
      <c r="P32" s="18"/>
      <c r="Q32" s="18"/>
      <c r="R32" s="202" t="str">
        <f t="shared" si="0"/>
        <v/>
      </c>
      <c r="S32" s="204"/>
      <c r="T32" s="18"/>
      <c r="U32" s="202" t="str">
        <f t="shared" si="1"/>
        <v/>
      </c>
      <c r="V32" s="205"/>
      <c r="W32" s="203"/>
      <c r="X32" s="18"/>
      <c r="Y32" s="18"/>
      <c r="Z32" s="202" t="str">
        <f t="shared" si="2"/>
        <v/>
      </c>
      <c r="AA32" s="203"/>
      <c r="AB32" s="18"/>
      <c r="AC32" s="18"/>
      <c r="AD32" s="202" t="str">
        <f t="shared" si="3"/>
        <v/>
      </c>
      <c r="AE32" s="203"/>
      <c r="AF32" s="18"/>
      <c r="AG32" s="18"/>
      <c r="AH32" s="202" t="str">
        <f t="shared" si="4"/>
        <v/>
      </c>
      <c r="AI32" s="203"/>
      <c r="AJ32" s="18"/>
      <c r="AK32" s="18"/>
      <c r="AL32" s="202" t="str">
        <f t="shared" si="5"/>
        <v/>
      </c>
      <c r="AM32" s="203"/>
      <c r="AN32" s="18"/>
      <c r="AO32" s="18"/>
      <c r="AP32" s="202" t="str">
        <f t="shared" si="6"/>
        <v/>
      </c>
      <c r="AQ32" s="203"/>
      <c r="AR32" s="18"/>
      <c r="AS32" s="18"/>
      <c r="AT32" s="202" t="str">
        <f t="shared" si="7"/>
        <v/>
      </c>
      <c r="AU32" s="203"/>
      <c r="AV32" s="203"/>
      <c r="AW32" s="18"/>
      <c r="AX32" s="202" t="str">
        <f t="shared" si="8"/>
        <v/>
      </c>
    </row>
    <row r="33" spans="2:51" s="217" customFormat="1" x14ac:dyDescent="0.35">
      <c r="B33" s="201">
        <v>4</v>
      </c>
      <c r="C33" s="218"/>
      <c r="D33" s="115"/>
      <c r="E33" s="115"/>
      <c r="F33" s="115"/>
      <c r="G33" s="203"/>
      <c r="H33" s="18"/>
      <c r="I33" s="18"/>
      <c r="J33" s="202" t="str">
        <f t="shared" si="9"/>
        <v/>
      </c>
      <c r="K33" s="203"/>
      <c r="L33" s="18"/>
      <c r="M33" s="18"/>
      <c r="N33" s="202" t="str">
        <f t="shared" si="10"/>
        <v/>
      </c>
      <c r="O33" s="203"/>
      <c r="P33" s="18"/>
      <c r="Q33" s="18"/>
      <c r="R33" s="202" t="str">
        <f t="shared" si="0"/>
        <v/>
      </c>
      <c r="S33" s="204"/>
      <c r="T33" s="18"/>
      <c r="U33" s="202" t="str">
        <f t="shared" si="1"/>
        <v/>
      </c>
      <c r="V33" s="205"/>
      <c r="W33" s="203"/>
      <c r="X33" s="18"/>
      <c r="Y33" s="18"/>
      <c r="Z33" s="202" t="str">
        <f t="shared" si="2"/>
        <v/>
      </c>
      <c r="AA33" s="203"/>
      <c r="AB33" s="18"/>
      <c r="AC33" s="18"/>
      <c r="AD33" s="202" t="str">
        <f t="shared" si="3"/>
        <v/>
      </c>
      <c r="AE33" s="203"/>
      <c r="AF33" s="18"/>
      <c r="AG33" s="18"/>
      <c r="AH33" s="202" t="str">
        <f t="shared" si="4"/>
        <v/>
      </c>
      <c r="AI33" s="203"/>
      <c r="AJ33" s="18"/>
      <c r="AK33" s="18"/>
      <c r="AL33" s="202" t="str">
        <f t="shared" si="5"/>
        <v/>
      </c>
      <c r="AM33" s="203"/>
      <c r="AN33" s="18"/>
      <c r="AO33" s="18"/>
      <c r="AP33" s="202" t="str">
        <f t="shared" si="6"/>
        <v/>
      </c>
      <c r="AQ33" s="203"/>
      <c r="AR33" s="18"/>
      <c r="AS33" s="18"/>
      <c r="AT33" s="202" t="str">
        <f t="shared" si="7"/>
        <v/>
      </c>
      <c r="AU33" s="203"/>
      <c r="AV33" s="203"/>
      <c r="AW33" s="18"/>
      <c r="AX33" s="202" t="str">
        <f t="shared" si="8"/>
        <v/>
      </c>
    </row>
    <row r="34" spans="2:51" s="217" customFormat="1" x14ac:dyDescent="0.35">
      <c r="B34" s="201">
        <v>5</v>
      </c>
      <c r="C34" s="218"/>
      <c r="D34" s="115"/>
      <c r="E34" s="115"/>
      <c r="F34" s="115"/>
      <c r="G34" s="203"/>
      <c r="H34" s="18"/>
      <c r="I34" s="18"/>
      <c r="J34" s="202" t="str">
        <f t="shared" si="9"/>
        <v/>
      </c>
      <c r="K34" s="203"/>
      <c r="L34" s="18"/>
      <c r="M34" s="18"/>
      <c r="N34" s="202" t="str">
        <f t="shared" si="10"/>
        <v/>
      </c>
      <c r="O34" s="203"/>
      <c r="P34" s="18"/>
      <c r="Q34" s="18"/>
      <c r="R34" s="202" t="str">
        <f t="shared" si="0"/>
        <v/>
      </c>
      <c r="S34" s="204"/>
      <c r="T34" s="18"/>
      <c r="U34" s="202" t="str">
        <f t="shared" si="1"/>
        <v/>
      </c>
      <c r="V34" s="205"/>
      <c r="W34" s="203"/>
      <c r="X34" s="18"/>
      <c r="Y34" s="18"/>
      <c r="Z34" s="202" t="str">
        <f t="shared" si="2"/>
        <v/>
      </c>
      <c r="AA34" s="203"/>
      <c r="AB34" s="18"/>
      <c r="AC34" s="18"/>
      <c r="AD34" s="202" t="str">
        <f t="shared" si="3"/>
        <v/>
      </c>
      <c r="AE34" s="203"/>
      <c r="AF34" s="18"/>
      <c r="AG34" s="18"/>
      <c r="AH34" s="202" t="str">
        <f t="shared" si="4"/>
        <v/>
      </c>
      <c r="AI34" s="203"/>
      <c r="AJ34" s="18"/>
      <c r="AK34" s="18"/>
      <c r="AL34" s="202" t="str">
        <f t="shared" si="5"/>
        <v/>
      </c>
      <c r="AM34" s="203"/>
      <c r="AN34" s="18"/>
      <c r="AO34" s="18"/>
      <c r="AP34" s="202" t="str">
        <f t="shared" si="6"/>
        <v/>
      </c>
      <c r="AQ34" s="203"/>
      <c r="AR34" s="18"/>
      <c r="AS34" s="18"/>
      <c r="AT34" s="202" t="str">
        <f t="shared" si="7"/>
        <v/>
      </c>
      <c r="AU34" s="203"/>
      <c r="AV34" s="203"/>
      <c r="AW34" s="18"/>
      <c r="AX34" s="202" t="str">
        <f t="shared" si="8"/>
        <v/>
      </c>
    </row>
    <row r="35" spans="2:51" s="217" customFormat="1" x14ac:dyDescent="0.35">
      <c r="B35" s="201">
        <v>6</v>
      </c>
      <c r="C35" s="218"/>
      <c r="D35" s="115"/>
      <c r="E35" s="115"/>
      <c r="F35" s="115"/>
      <c r="G35" s="203"/>
      <c r="H35" s="18"/>
      <c r="I35" s="18"/>
      <c r="J35" s="202" t="str">
        <f t="shared" si="9"/>
        <v/>
      </c>
      <c r="K35" s="203"/>
      <c r="L35" s="18"/>
      <c r="M35" s="18"/>
      <c r="N35" s="202" t="str">
        <f t="shared" si="10"/>
        <v/>
      </c>
      <c r="O35" s="203"/>
      <c r="P35" s="18"/>
      <c r="Q35" s="18"/>
      <c r="R35" s="202" t="str">
        <f t="shared" si="0"/>
        <v/>
      </c>
      <c r="S35" s="204"/>
      <c r="T35" s="18"/>
      <c r="U35" s="202" t="str">
        <f t="shared" si="1"/>
        <v/>
      </c>
      <c r="V35" s="205"/>
      <c r="W35" s="203"/>
      <c r="X35" s="18"/>
      <c r="Y35" s="18"/>
      <c r="Z35" s="202" t="str">
        <f t="shared" si="2"/>
        <v/>
      </c>
      <c r="AA35" s="203"/>
      <c r="AB35" s="18"/>
      <c r="AC35" s="18"/>
      <c r="AD35" s="202" t="str">
        <f t="shared" si="3"/>
        <v/>
      </c>
      <c r="AE35" s="203"/>
      <c r="AF35" s="18"/>
      <c r="AG35" s="18"/>
      <c r="AH35" s="202" t="str">
        <f t="shared" si="4"/>
        <v/>
      </c>
      <c r="AI35" s="203"/>
      <c r="AJ35" s="18"/>
      <c r="AK35" s="18"/>
      <c r="AL35" s="202" t="str">
        <f t="shared" si="5"/>
        <v/>
      </c>
      <c r="AM35" s="203"/>
      <c r="AN35" s="18"/>
      <c r="AO35" s="18"/>
      <c r="AP35" s="202" t="str">
        <f t="shared" si="6"/>
        <v/>
      </c>
      <c r="AQ35" s="203"/>
      <c r="AR35" s="18"/>
      <c r="AS35" s="18"/>
      <c r="AT35" s="202" t="str">
        <f t="shared" si="7"/>
        <v/>
      </c>
      <c r="AU35" s="203"/>
      <c r="AV35" s="203"/>
      <c r="AW35" s="18"/>
      <c r="AX35" s="202" t="str">
        <f t="shared" si="8"/>
        <v/>
      </c>
    </row>
    <row r="36" spans="2:51" s="217" customFormat="1" x14ac:dyDescent="0.35">
      <c r="B36" s="201">
        <v>7</v>
      </c>
      <c r="C36" s="218"/>
      <c r="D36" s="115"/>
      <c r="E36" s="115"/>
      <c r="F36" s="115"/>
      <c r="G36" s="203"/>
      <c r="H36" s="18"/>
      <c r="I36" s="18"/>
      <c r="J36" s="202" t="str">
        <f t="shared" si="9"/>
        <v/>
      </c>
      <c r="K36" s="203"/>
      <c r="L36" s="18"/>
      <c r="M36" s="18"/>
      <c r="N36" s="202" t="str">
        <f t="shared" si="10"/>
        <v/>
      </c>
      <c r="O36" s="203"/>
      <c r="P36" s="18"/>
      <c r="Q36" s="18"/>
      <c r="R36" s="202" t="str">
        <f t="shared" si="0"/>
        <v/>
      </c>
      <c r="S36" s="204"/>
      <c r="T36" s="18"/>
      <c r="U36" s="202" t="str">
        <f t="shared" si="1"/>
        <v/>
      </c>
      <c r="V36" s="205"/>
      <c r="W36" s="203"/>
      <c r="X36" s="18"/>
      <c r="Y36" s="18"/>
      <c r="Z36" s="202" t="str">
        <f t="shared" si="2"/>
        <v/>
      </c>
      <c r="AA36" s="203"/>
      <c r="AB36" s="18"/>
      <c r="AC36" s="18"/>
      <c r="AD36" s="202" t="str">
        <f t="shared" si="3"/>
        <v/>
      </c>
      <c r="AE36" s="203"/>
      <c r="AF36" s="18"/>
      <c r="AG36" s="18"/>
      <c r="AH36" s="202" t="str">
        <f t="shared" si="4"/>
        <v/>
      </c>
      <c r="AI36" s="203"/>
      <c r="AJ36" s="18"/>
      <c r="AK36" s="18"/>
      <c r="AL36" s="202" t="str">
        <f t="shared" si="5"/>
        <v/>
      </c>
      <c r="AM36" s="203"/>
      <c r="AN36" s="18"/>
      <c r="AO36" s="18"/>
      <c r="AP36" s="202" t="str">
        <f t="shared" si="6"/>
        <v/>
      </c>
      <c r="AQ36" s="203"/>
      <c r="AR36" s="18"/>
      <c r="AS36" s="18"/>
      <c r="AT36" s="202" t="str">
        <f t="shared" si="7"/>
        <v/>
      </c>
      <c r="AU36" s="203"/>
      <c r="AV36" s="203"/>
      <c r="AW36" s="18"/>
      <c r="AX36" s="202" t="str">
        <f t="shared" si="8"/>
        <v/>
      </c>
    </row>
    <row r="37" spans="2:51" s="217" customFormat="1" x14ac:dyDescent="0.35">
      <c r="B37" s="201">
        <v>8</v>
      </c>
      <c r="C37" s="218"/>
      <c r="D37" s="115"/>
      <c r="E37" s="115"/>
      <c r="F37" s="115"/>
      <c r="G37" s="203"/>
      <c r="H37" s="18"/>
      <c r="I37" s="18"/>
      <c r="J37" s="206" t="str">
        <f t="shared" si="9"/>
        <v/>
      </c>
      <c r="K37" s="203"/>
      <c r="L37" s="18"/>
      <c r="M37" s="18"/>
      <c r="N37" s="202" t="str">
        <f t="shared" si="10"/>
        <v/>
      </c>
      <c r="O37" s="203"/>
      <c r="P37" s="18"/>
      <c r="Q37" s="18"/>
      <c r="R37" s="202" t="str">
        <f t="shared" si="0"/>
        <v/>
      </c>
      <c r="S37" s="204"/>
      <c r="T37" s="18"/>
      <c r="U37" s="202" t="str">
        <f t="shared" si="1"/>
        <v/>
      </c>
      <c r="V37" s="205"/>
      <c r="W37" s="203"/>
      <c r="X37" s="18"/>
      <c r="Y37" s="18"/>
      <c r="Z37" s="202" t="str">
        <f t="shared" si="2"/>
        <v/>
      </c>
      <c r="AA37" s="203"/>
      <c r="AB37" s="18"/>
      <c r="AC37" s="18"/>
      <c r="AD37" s="202" t="str">
        <f t="shared" si="3"/>
        <v/>
      </c>
      <c r="AE37" s="203"/>
      <c r="AF37" s="18"/>
      <c r="AG37" s="18"/>
      <c r="AH37" s="202" t="str">
        <f t="shared" si="4"/>
        <v/>
      </c>
      <c r="AI37" s="203"/>
      <c r="AJ37" s="18"/>
      <c r="AK37" s="18"/>
      <c r="AL37" s="202" t="str">
        <f t="shared" si="5"/>
        <v/>
      </c>
      <c r="AM37" s="203"/>
      <c r="AN37" s="18"/>
      <c r="AO37" s="18"/>
      <c r="AP37" s="202" t="str">
        <f t="shared" si="6"/>
        <v/>
      </c>
      <c r="AQ37" s="203"/>
      <c r="AR37" s="18"/>
      <c r="AS37" s="18"/>
      <c r="AT37" s="202" t="str">
        <f t="shared" si="7"/>
        <v/>
      </c>
      <c r="AU37" s="203"/>
      <c r="AV37" s="203"/>
      <c r="AW37" s="18"/>
      <c r="AX37" s="202" t="str">
        <f t="shared" si="8"/>
        <v/>
      </c>
    </row>
    <row r="38" spans="2:51" ht="15.75" customHeight="1" x14ac:dyDescent="0.35">
      <c r="B38" s="336" t="s">
        <v>157</v>
      </c>
      <c r="C38" s="336"/>
      <c r="D38" s="336"/>
      <c r="E38" s="336"/>
      <c r="F38" s="336"/>
      <c r="G38" s="157" t="str" cm="1">
        <f t="array" ref="G38">IF(AND(ISBLANK(G30:G37)),"",SUMPRODUCT(G30:G37,$F$30:$F$37))</f>
        <v/>
      </c>
      <c r="H38" s="157" t="str" cm="1">
        <f t="array" ref="H38">IF(AND(ISBLANK(H30:H37)),"",SUMPRODUCT(H30:H37,$F$30:$F$37))</f>
        <v/>
      </c>
      <c r="I38" s="158" t="str" cm="1">
        <f t="array" ref="I38">IF(AND(ISBLANK(I30:I37)),"",SUMPRODUCT(I30:I37,$F$30:$F$37))</f>
        <v/>
      </c>
      <c r="J38" s="159"/>
      <c r="K38" s="160" t="str" cm="1">
        <f t="array" ref="K38">IF(AND(ISBLANK(K30:K37)),"",SUMPRODUCT(K30:K37,$F$30:$F$37))</f>
        <v/>
      </c>
      <c r="L38" s="157" t="str" cm="1">
        <f t="array" ref="L38">IF(AND(ISBLANK(L30:L37)),"",SUMPRODUCT(L30:L37,$F$30:$F$37))</f>
        <v/>
      </c>
      <c r="M38" s="157" t="str" cm="1">
        <f t="array" ref="M38">IF(AND(ISBLANK(M30:M37)),"",SUMPRODUCT(M30:M37,$F$30:$F$37))</f>
        <v/>
      </c>
      <c r="N38" s="159"/>
      <c r="O38" s="157" t="str" cm="1">
        <f t="array" ref="O38">IF(AND(ISBLANK(O30:O37)),"",SUMPRODUCT(O30:O37,$F$30:$F$37))</f>
        <v/>
      </c>
      <c r="P38" s="157" t="str" cm="1">
        <f t="array" ref="P38">IF(AND(ISBLANK(P30:P37)),"",SUMPRODUCT(P30:P37,$F$30:$F$37))</f>
        <v/>
      </c>
      <c r="Q38" s="157" t="str" cm="1">
        <f t="array" ref="Q38">IF(AND(ISBLANK(Q30:Q37)),"",SUMPRODUCT(Q30:Q37,$F$30:$F$37))</f>
        <v/>
      </c>
      <c r="R38" s="159"/>
      <c r="S38" s="161"/>
      <c r="T38" s="157" t="str">
        <f>IF(T30="","",SUMPRODUCT(T30:T37,$F$30:$F$37))</f>
        <v/>
      </c>
      <c r="U38" s="162"/>
      <c r="V38" s="163"/>
      <c r="W38" s="157" t="str" cm="1">
        <f t="array" ref="W38">IF(AND(ISBLANK(W30:W37)),"",SUMPRODUCT(W30:W37,$F$30:$F$37))</f>
        <v/>
      </c>
      <c r="X38" s="157" t="str" cm="1">
        <f t="array" ref="X38">IF(AND(ISBLANK(X30:X37)),"",SUMPRODUCT(X30:X37,$F$30:$F$37))</f>
        <v/>
      </c>
      <c r="Y38" s="157" t="str" cm="1">
        <f t="array" ref="Y38">IF(AND(ISBLANK(Y30:Y37)),"",SUMPRODUCT(Y30:Y37,$F$30:$F$37))</f>
        <v/>
      </c>
      <c r="Z38" s="159"/>
      <c r="AA38" s="157" t="str" cm="1">
        <f t="array" ref="AA38">IF(AND(ISBLANK(AA30:AA37)),"",SUMPRODUCT(AA30:AA37,$F$30:$F$37))</f>
        <v/>
      </c>
      <c r="AB38" s="157" t="str" cm="1">
        <f t="array" ref="AB38">IF(AND(ISBLANK(AB30:AB37)),"",SUMPRODUCT(AB30:AB37,$F$30:$F$37))</f>
        <v/>
      </c>
      <c r="AC38" s="157" t="str" cm="1">
        <f t="array" ref="AC38">IF(AND(ISBLANK(AC30:AC37)),"",SUMPRODUCT(AC30:AC37,$F$30:$F$37))</f>
        <v/>
      </c>
      <c r="AD38" s="159"/>
      <c r="AE38" s="157" t="str" cm="1">
        <f t="array" ref="AE38">IF(AND(ISBLANK(AE30:AE37)),"",SUMPRODUCT(AE30:AE37,$F$30:$F$37))</f>
        <v/>
      </c>
      <c r="AF38" s="157" t="str" cm="1">
        <f t="array" ref="AF38">IF(AND(ISBLANK(AF30:AF37)),"",SUMPRODUCT(AF30:AF37,$F$30:$F$37))</f>
        <v/>
      </c>
      <c r="AG38" s="157" t="str" cm="1">
        <f t="array" ref="AG38">IF(AND(ISBLANK(AG30:AG37)),"",SUMPRODUCT(AG30:AG37,$F$30:$F$37))</f>
        <v/>
      </c>
      <c r="AH38" s="159"/>
      <c r="AI38" s="157" t="str" cm="1">
        <f t="array" ref="AI38">IF(AND(ISBLANK(AI30:AI37)),"",SUMPRODUCT(AI30:AI37,$F$30:$F$37))</f>
        <v/>
      </c>
      <c r="AJ38" s="157" t="str" cm="1">
        <f t="array" ref="AJ38">IF(AND(ISBLANK(AJ30:AJ37)),"",SUMPRODUCT(AJ30:AJ37,$F$30:$F$37))</f>
        <v/>
      </c>
      <c r="AK38" s="157" t="str" cm="1">
        <f t="array" ref="AK38">IF(AND(ISBLANK(AK30:AK37)),"",SUMPRODUCT(AK30:AK37,$F$30:$F$37))</f>
        <v/>
      </c>
      <c r="AL38" s="159"/>
      <c r="AM38" s="157" t="str" cm="1">
        <f t="array" ref="AM38">IF(AND(ISBLANK(AM30:AM37)),"",SUMPRODUCT(AM30:AM37,$F$30:$F$37))</f>
        <v/>
      </c>
      <c r="AN38" s="157" t="str" cm="1">
        <f t="array" ref="AN38">IF(AND(ISBLANK(AN30:AN37)),"",SUMPRODUCT(AN30:AN37,$F$30:$F$37))</f>
        <v/>
      </c>
      <c r="AO38" s="157" t="str" cm="1">
        <f t="array" ref="AO38">IF(AND(ISBLANK(AO30:AO37)),"",SUMPRODUCT(AO30:AO37,$F$30:$F$37))</f>
        <v/>
      </c>
      <c r="AP38" s="159"/>
      <c r="AQ38" s="157" t="str" cm="1">
        <f t="array" ref="AQ38">IF(AND(ISBLANK(AQ30:AQ37)),"",SUMPRODUCT(AQ30:AQ37,$F$30:$F$37))</f>
        <v/>
      </c>
      <c r="AR38" s="157" t="str" cm="1">
        <f t="array" ref="AR38">IF(AND(ISBLANK(AR30:AR37)),"",SUMPRODUCT(AR30:AR37,$F$30:$F$37))</f>
        <v/>
      </c>
      <c r="AS38" s="157" t="str" cm="1">
        <f t="array" ref="AS38">IF(AND(ISBLANK(AS30:AS37)),"",SUMPRODUCT(AS30:AS37,$F$30:$F$37))</f>
        <v/>
      </c>
      <c r="AT38" s="159"/>
      <c r="AU38" s="157" t="str" cm="1">
        <f t="array" ref="AU38">IF(AND(ISBLANK(AU30:AU37)),"",SUMPRODUCT(AU30:AU37,$F$30:$F$37))</f>
        <v/>
      </c>
      <c r="AV38" s="157" t="str" cm="1">
        <f t="array" ref="AV38">IF(AND(ISBLANK(AV30:AV37)),"",SUMPRODUCT(AV30:AV37,$F$30:$F$37))</f>
        <v/>
      </c>
      <c r="AW38" s="157" t="str" cm="1">
        <f t="array" ref="AW38">IF(AND(ISBLANK(AW30:AW37)),"",SUMPRODUCT(AW30:AW37,$F$30:$F$37))</f>
        <v/>
      </c>
      <c r="AX38" s="159"/>
    </row>
    <row r="39" spans="2:51" ht="15" customHeight="1" x14ac:dyDescent="0.35">
      <c r="B39" s="336" t="str">
        <f>"Total Amount in "&amp;D28</f>
        <v xml:space="preserve">Total Amount in </v>
      </c>
      <c r="C39" s="336"/>
      <c r="D39" s="336"/>
      <c r="E39" s="336"/>
      <c r="F39" s="336"/>
      <c r="G39" s="167" t="str">
        <f>IFERROR(IF(G38="","",G38*I28),)</f>
        <v/>
      </c>
      <c r="H39" s="164" t="str">
        <f>IFERROR(H38*I28,"")</f>
        <v/>
      </c>
      <c r="I39" s="165" t="str">
        <f>IFERROR(I38*I28,"")</f>
        <v/>
      </c>
      <c r="J39" s="166"/>
      <c r="K39" s="167" t="str">
        <f>IFERROR(IF(K38="","",K38*M28),)</f>
        <v/>
      </c>
      <c r="L39" s="164" t="str">
        <f>IFERROR(L38*M28,"")</f>
        <v/>
      </c>
      <c r="M39" s="165" t="str">
        <f>IFERROR(M38*M28,"")</f>
        <v/>
      </c>
      <c r="N39" s="166"/>
      <c r="O39" s="167" t="str">
        <f>IFERROR(IF(O38="","",O38*Q28),)</f>
        <v/>
      </c>
      <c r="P39" s="164" t="str">
        <f>IFERROR(P38*Q28,"")</f>
        <v/>
      </c>
      <c r="Q39" s="165" t="str">
        <f>IFERROR(Q38*Q28,"")</f>
        <v/>
      </c>
      <c r="R39" s="166"/>
      <c r="S39" s="168"/>
      <c r="T39" s="164" t="str">
        <f>IFERROR(IF(T38="","",T38*U28),)</f>
        <v/>
      </c>
      <c r="U39" s="162"/>
      <c r="V39" s="168"/>
      <c r="W39" s="164" t="str">
        <f>IFERROR(IF(W38="","",W38*Y28),)</f>
        <v/>
      </c>
      <c r="X39" s="164" t="str">
        <f>IFERROR(X38*Y28,"")</f>
        <v/>
      </c>
      <c r="Y39" s="164" t="str">
        <f>IFERROR(Y38*Y28,"")</f>
        <v/>
      </c>
      <c r="Z39" s="166"/>
      <c r="AA39" s="167" t="str">
        <f>IFERROR(IF(AA38="","",AA38*AC28),)</f>
        <v/>
      </c>
      <c r="AB39" s="164" t="str">
        <f>IFERROR(AB38*AC28,"")</f>
        <v/>
      </c>
      <c r="AC39" s="165" t="str">
        <f>IFERROR(AC38*AC28,"")</f>
        <v/>
      </c>
      <c r="AD39" s="166"/>
      <c r="AE39" s="167" t="str">
        <f>IFERROR(IF(AE38="","",AE38*AG28),)</f>
        <v/>
      </c>
      <c r="AF39" s="164" t="str">
        <f>IFERROR(AF38*AG28,"")</f>
        <v/>
      </c>
      <c r="AG39" s="165" t="str">
        <f>IFERROR(AG38*AG28,"")</f>
        <v/>
      </c>
      <c r="AH39" s="166"/>
      <c r="AI39" s="167" t="str">
        <f>IFERROR(IF(AI38="","",AI38*AK28),)</f>
        <v/>
      </c>
      <c r="AJ39" s="164" t="str">
        <f>IFERROR(AJ38*AK28,"")</f>
        <v/>
      </c>
      <c r="AK39" s="165" t="str">
        <f>IFERROR(AK38*AK28,"")</f>
        <v/>
      </c>
      <c r="AL39" s="166"/>
      <c r="AM39" s="167" t="str">
        <f>IFERROR(IF(AM38="","",AM38*AO28),)</f>
        <v/>
      </c>
      <c r="AN39" s="164" t="str">
        <f>IFERROR(AN38*AO28,"")</f>
        <v/>
      </c>
      <c r="AO39" s="165" t="str">
        <f>IFERROR(AO38*AO28,"")</f>
        <v/>
      </c>
      <c r="AP39" s="166"/>
      <c r="AQ39" s="167" t="str">
        <f>IFERROR(IF(AQ38="","",AQ38*AS28),)</f>
        <v/>
      </c>
      <c r="AR39" s="164" t="str">
        <f>IFERROR(AR38*AS28,"")</f>
        <v/>
      </c>
      <c r="AS39" s="165" t="str">
        <f>IFERROR(AS38*AS28,"")</f>
        <v/>
      </c>
      <c r="AT39" s="166"/>
      <c r="AU39" s="167" t="str">
        <f>IFERROR(IF(AU38="","",AU38*AW28),)</f>
        <v/>
      </c>
      <c r="AV39" s="164" t="str">
        <f>IFERROR(AV38*AW28,"")</f>
        <v/>
      </c>
      <c r="AW39" s="165" t="str">
        <f>IFERROR(AW38*AW28,"")</f>
        <v/>
      </c>
      <c r="AX39" s="166"/>
      <c r="AY39" s="169"/>
    </row>
    <row r="40" spans="2:51" x14ac:dyDescent="0.35">
      <c r="B40" s="336" t="str">
        <f>"Landed Cost (for Reference) in "&amp;D28</f>
        <v xml:space="preserve">Landed Cost (for Reference) in </v>
      </c>
      <c r="C40" s="336"/>
      <c r="D40" s="336"/>
      <c r="E40" s="336"/>
      <c r="F40" s="336"/>
      <c r="G40" s="170" t="str" cm="1">
        <f t="array" ref="G40">IF(G39="","",SUMPRODUCT(IF(ISNUMBER(G51:G57), G51:G57, 0)*I28)+G39)</f>
        <v/>
      </c>
      <c r="H40" s="170" t="str" cm="1">
        <f t="array" ref="H40">IFERROR(SUMPRODUCT(IF(ISNUMBER(G51:G57), G51:G57, 0)*I28)+H39,"")</f>
        <v/>
      </c>
      <c r="I40" s="171" t="str" cm="1">
        <f t="array" ref="I40">IFERROR(SUMPRODUCT(IF(ISNUMBER(I51:I57), I51:I57, 0)*I28)+I39,"")</f>
        <v/>
      </c>
      <c r="J40" s="172"/>
      <c r="K40" s="173" t="str" cm="1">
        <f t="array" ref="K40">IF(K39="","",SUMPRODUCT(IF(ISNUMBER(K51:K57), K51:K57, 0)*M28)+K39)</f>
        <v/>
      </c>
      <c r="L40" s="170" t="str" cm="1">
        <f t="array" ref="L40">IFERROR(SUMPRODUCT(IF(ISNUMBER(K51:K57), K51:K57, 0)*M28)+L39,"")</f>
        <v/>
      </c>
      <c r="M40" s="171" t="str" cm="1">
        <f t="array" ref="M40">IFERROR(SUMPRODUCT(IF(ISNUMBER(M51:M57), M51:M57, 0)*M28)+M39,"")</f>
        <v/>
      </c>
      <c r="N40" s="172"/>
      <c r="O40" s="173" t="str" cm="1">
        <f t="array" ref="O40">IF(O39="","",SUMPRODUCT(IF(ISNUMBER(O51:O57), O51:O57, 0)*Q28)+O39)</f>
        <v/>
      </c>
      <c r="P40" s="170" t="str" cm="1">
        <f t="array" ref="P40">IFERROR(SUMPRODUCT(IF(ISNUMBER(O51:O57), O51:O57, 0)*Q28)+P39,"")</f>
        <v/>
      </c>
      <c r="Q40" s="171" t="str" cm="1">
        <f t="array" ref="Q40">IFERROR(SUMPRODUCT(IF(ISNUMBER(Q51:Q57), Q51:Q57, 0)*Q28)+Q39,"")</f>
        <v/>
      </c>
      <c r="R40" s="172"/>
      <c r="S40" s="174"/>
      <c r="T40" s="170" t="str" cm="1">
        <f t="array" ref="T40">IF(T39="","",SUMPRODUCT(IF(ISNUMBER(T51:U57), T51:U57, 0)*U28)+T39)</f>
        <v/>
      </c>
      <c r="U40" s="175"/>
      <c r="V40" s="174"/>
      <c r="W40" s="170" t="str" cm="1">
        <f t="array" ref="W40">IF(W39="","",SUMPRODUCT(IF(ISNUMBER(W51:W57), W51:W57, 0)*Y28)+W39)</f>
        <v/>
      </c>
      <c r="X40" s="170" t="str" cm="1">
        <f t="array" ref="X40">IFERROR(SUMPRODUCT(IF(ISNUMBER(W51:W57), W51:W57, 0)*Y28)+X39,"")</f>
        <v/>
      </c>
      <c r="Y40" s="170" t="str" cm="1">
        <f t="array" ref="Y40">IFERROR(SUMPRODUCT(IF(ISNUMBER(Y51:Y57), Y51:Y57, 0)*Y28)+Y39,"")</f>
        <v/>
      </c>
      <c r="Z40" s="172"/>
      <c r="AA40" s="173" t="str" cm="1">
        <f t="array" ref="AA40">IF(AA39="","",SUMPRODUCT(IF(ISNUMBER(AA51:AA57), AA51:AA57, 0)*AC28)+AA39)</f>
        <v/>
      </c>
      <c r="AB40" s="170" t="str" cm="1">
        <f t="array" ref="AB40">IFERROR(SUMPRODUCT(IF(ISNUMBER(AA51:AA57), AA51:AA57, 0)*AC28)+AB39,"")</f>
        <v/>
      </c>
      <c r="AC40" s="171" t="str" cm="1">
        <f t="array" ref="AC40">IFERROR(SUMPRODUCT(IF(ISNUMBER(AC51:AC57), AC51:AC57, 0)*AC28)+AC39,"")</f>
        <v/>
      </c>
      <c r="AD40" s="172"/>
      <c r="AE40" s="173" t="str" cm="1">
        <f t="array" ref="AE40">IF(AE39="","",SUMPRODUCT(IF(ISNUMBER(AE51:AE57), AE51:AE57, 0)*AG28)+AE39)</f>
        <v/>
      </c>
      <c r="AF40" s="170" t="str" cm="1">
        <f t="array" ref="AF40">IFERROR(SUMPRODUCT(IF(ISNUMBER(AE51:AE57), AE51:AE57, 0)*AG28)+AF39,"")</f>
        <v/>
      </c>
      <c r="AG40" s="171" t="str" cm="1">
        <f t="array" ref="AG40">IFERROR(SUMPRODUCT(IF(ISNUMBER(AG51:AG57), AG51:AG57, 0)*AG28)+AG39,"")</f>
        <v/>
      </c>
      <c r="AH40" s="172"/>
      <c r="AI40" s="173" t="str" cm="1">
        <f t="array" ref="AI40">IF(AI39="","",SUMPRODUCT(IF(ISNUMBER(AI51:AI57), AI51:AI57, 0)*AK28)+AI39)</f>
        <v/>
      </c>
      <c r="AJ40" s="170" t="str" cm="1">
        <f t="array" ref="AJ40">IFERROR(SUMPRODUCT(IF(ISNUMBER(AI51:AI57), AI51:AI57, 0)*AK28)+AJ39,"")</f>
        <v/>
      </c>
      <c r="AK40" s="171" t="str" cm="1">
        <f t="array" ref="AK40">IFERROR(SUMPRODUCT(IF(ISNUMBER(AK51:AK57), AK51:AK57, 0)*AK28)+AK39,"")</f>
        <v/>
      </c>
      <c r="AL40" s="172"/>
      <c r="AM40" s="173" t="str" cm="1">
        <f t="array" ref="AM40">IF(AM39="","",SUMPRODUCT(IF(ISNUMBER(AM51:AM57), AM51:AM57, 0)*AO28)+AM39)</f>
        <v/>
      </c>
      <c r="AN40" s="170" t="str" cm="1">
        <f t="array" ref="AN40">IFERROR(SUMPRODUCT(IF(ISNUMBER(AM51:AM57), AM51:AM57, 0)*AO28)+AN39,"")</f>
        <v/>
      </c>
      <c r="AO40" s="171" t="str" cm="1">
        <f t="array" ref="AO40">IFERROR(SUMPRODUCT(IF(ISNUMBER(AO51:AO57), AO51:AO57, 0)*AO28)+AO39,"")</f>
        <v/>
      </c>
      <c r="AP40" s="172"/>
      <c r="AQ40" s="173" t="str" cm="1">
        <f t="array" ref="AQ40">IF(AQ39="","",SUMPRODUCT(IF(ISNUMBER(AQ51:AQ57), AQ51:AQ57, 0)*AS28)+AQ39)</f>
        <v/>
      </c>
      <c r="AR40" s="170" t="str" cm="1">
        <f t="array" ref="AR40">IFERROR(SUMPRODUCT(IF(ISNUMBER(AQ51:AQ57), AQ51:AQ57, 0)*AS28)+AR39,"")</f>
        <v/>
      </c>
      <c r="AS40" s="171" t="str" cm="1">
        <f t="array" ref="AS40">IFERROR(SUMPRODUCT(IF(ISNUMBER(AS51:AS57), AS51:AS57, 0)*AS28)+AS39,"")</f>
        <v/>
      </c>
      <c r="AT40" s="172"/>
      <c r="AU40" s="173" t="str" cm="1">
        <f t="array" ref="AU40">IF(AU39="","",SUMPRODUCT(IF(ISNUMBER(AU51:AU57), AU51:AU57, 0)*AW28)+AU39)</f>
        <v/>
      </c>
      <c r="AV40" s="170" t="str" cm="1">
        <f t="array" ref="AV40">IFERROR(SUMPRODUCT(IF(ISNUMBER(AU51:AU57), AU51:AU57, 0)*AW28)+AV39,"")</f>
        <v/>
      </c>
      <c r="AW40" s="171" t="str" cm="1">
        <f t="array" ref="AW40">IFERROR(SUMPRODUCT(IF(ISNUMBER(AW51:AW57), AW51:AW57, 0)*AW28)+AW39,"")</f>
        <v/>
      </c>
      <c r="AX40" s="172"/>
    </row>
    <row r="41" spans="2:51" ht="15" customHeight="1" x14ac:dyDescent="0.35">
      <c r="B41" s="150"/>
      <c r="C41" s="151"/>
      <c r="D41" s="151"/>
      <c r="E41" s="151"/>
      <c r="F41" s="152" t="str">
        <f>"Saving Amount in "&amp;D28</f>
        <v xml:space="preserve">Saving Amount in </v>
      </c>
      <c r="G41" s="176" t="str">
        <f>IFERROR(G39-I39,"")</f>
        <v/>
      </c>
      <c r="H41" s="176" t="str">
        <f>IFERROR(G39-H39,"")</f>
        <v/>
      </c>
      <c r="I41" s="176" t="str">
        <f>IFERROR(H39-I39,"")</f>
        <v/>
      </c>
      <c r="J41" s="177"/>
      <c r="K41" s="176" t="str">
        <f>IFERROR(K39-M39,"")</f>
        <v/>
      </c>
      <c r="L41" s="176" t="str">
        <f>IFERROR(K39-L39,"")</f>
        <v/>
      </c>
      <c r="M41" s="176" t="str">
        <f>IFERROR(L39-M39,"")</f>
        <v/>
      </c>
      <c r="N41" s="178"/>
      <c r="O41" s="176" t="str">
        <f>IFERROR(O39-Q39,"")</f>
        <v/>
      </c>
      <c r="P41" s="176" t="str">
        <f>IFERROR(O39-P39,"")</f>
        <v/>
      </c>
      <c r="Q41" s="176" t="str">
        <f>IFERROR(P39-Q39,"")</f>
        <v/>
      </c>
      <c r="R41" s="178"/>
      <c r="S41" s="179"/>
      <c r="T41" s="180"/>
      <c r="U41" s="180"/>
      <c r="V41" s="181"/>
      <c r="W41" s="176" t="str">
        <f>IFERROR(W39-Y39,"")</f>
        <v/>
      </c>
      <c r="X41" s="176" t="str">
        <f>IFERROR(W39-X39,"")</f>
        <v/>
      </c>
      <c r="Y41" s="176" t="str">
        <f>IFERROR(X39-Y39,"")</f>
        <v/>
      </c>
      <c r="Z41" s="178"/>
      <c r="AA41" s="176" t="str">
        <f>IFERROR(AA39-AC39,"")</f>
        <v/>
      </c>
      <c r="AB41" s="176" t="str">
        <f>IFERROR(AA39-AB39,"")</f>
        <v/>
      </c>
      <c r="AC41" s="176" t="str">
        <f>IFERROR(AB39-AC39,"")</f>
        <v/>
      </c>
      <c r="AD41" s="178"/>
      <c r="AE41" s="176" t="str">
        <f>IFERROR(AE39-AG39,"")</f>
        <v/>
      </c>
      <c r="AF41" s="176" t="str">
        <f>IFERROR(AE39-AF39,"")</f>
        <v/>
      </c>
      <c r="AG41" s="176" t="str">
        <f>IFERROR(AF39-AG39,"")</f>
        <v/>
      </c>
      <c r="AH41" s="178"/>
      <c r="AI41" s="176" t="str">
        <f>IFERROR(AI39-AK39,"")</f>
        <v/>
      </c>
      <c r="AJ41" s="176" t="str">
        <f>IFERROR(AI39-AJ39,"")</f>
        <v/>
      </c>
      <c r="AK41" s="176" t="str">
        <f>IFERROR(AJ39-AK39,"")</f>
        <v/>
      </c>
      <c r="AL41" s="178"/>
      <c r="AM41" s="176" t="str">
        <f>IFERROR(AM39-AO39,"")</f>
        <v/>
      </c>
      <c r="AN41" s="176" t="str">
        <f>IFERROR(AM39-AN39,"")</f>
        <v/>
      </c>
      <c r="AO41" s="176" t="str">
        <f>IFERROR(AN39-AO39,"")</f>
        <v/>
      </c>
      <c r="AP41" s="178"/>
      <c r="AQ41" s="176" t="str">
        <f>IFERROR(AQ39-AS39,"")</f>
        <v/>
      </c>
      <c r="AR41" s="176" t="str">
        <f>IFERROR(AQ39-AR39,"")</f>
        <v/>
      </c>
      <c r="AS41" s="176" t="str">
        <f>IFERROR(AR39-AS39,"")</f>
        <v/>
      </c>
      <c r="AT41" s="178"/>
      <c r="AU41" s="176" t="str">
        <f>IFERROR(AU39-AW39,"")</f>
        <v/>
      </c>
      <c r="AV41" s="176" t="str">
        <f>IFERROR(AU39-AV39,"")</f>
        <v/>
      </c>
      <c r="AW41" s="176" t="str">
        <f>IFERROR(AV39-AW39,"")</f>
        <v/>
      </c>
      <c r="AX41" s="178"/>
    </row>
    <row r="42" spans="2:51" ht="15" customHeight="1" x14ac:dyDescent="0.35">
      <c r="B42" s="223" t="s">
        <v>158</v>
      </c>
      <c r="C42" s="223"/>
      <c r="D42" s="223"/>
      <c r="E42" s="223"/>
      <c r="F42" s="223"/>
      <c r="G42" s="182" t="str">
        <f>IFERROR((G39-I39)/G39,"")</f>
        <v/>
      </c>
      <c r="H42" s="182" t="str">
        <f>IFERROR((G39-H39)/G39,"")</f>
        <v/>
      </c>
      <c r="I42" s="183" t="str">
        <f>IFERROR((H39-I39)/H39,"")</f>
        <v/>
      </c>
      <c r="J42" s="177"/>
      <c r="K42" s="182" t="str">
        <f>IFERROR((K39-M39)/K39,"")</f>
        <v/>
      </c>
      <c r="L42" s="182" t="str">
        <f>IFERROR((K39-L39)/K39,"")</f>
        <v/>
      </c>
      <c r="M42" s="183" t="str">
        <f>IFERROR((L39-M39)/L39,"")</f>
        <v/>
      </c>
      <c r="N42" s="178"/>
      <c r="O42" s="182" t="str">
        <f>IFERROR((O39-Q39)/O39,"")</f>
        <v/>
      </c>
      <c r="P42" s="182" t="str">
        <f>IFERROR((O39-P39)/O39,"")</f>
        <v/>
      </c>
      <c r="Q42" s="183" t="str">
        <f>IFERROR((P39-Q39)/P39,"")</f>
        <v/>
      </c>
      <c r="R42" s="178"/>
      <c r="S42" s="179"/>
      <c r="T42" s="180"/>
      <c r="U42" s="180"/>
      <c r="V42" s="181"/>
      <c r="W42" s="182" t="str">
        <f>IFERROR((W39-Y39)/W39,"")</f>
        <v/>
      </c>
      <c r="X42" s="182" t="str">
        <f>IFERROR((W39-X39)/W39,"")</f>
        <v/>
      </c>
      <c r="Y42" s="183" t="str">
        <f>IFERROR((X39-Y39)/X39,"")</f>
        <v/>
      </c>
      <c r="Z42" s="178"/>
      <c r="AA42" s="182" t="str">
        <f>IFERROR((AA39-AC39)/AA39,"")</f>
        <v/>
      </c>
      <c r="AB42" s="182" t="str">
        <f>IFERROR((AA39-AB39)/AA39,"")</f>
        <v/>
      </c>
      <c r="AC42" s="183" t="str">
        <f>IFERROR((AB39-AC39)/AB39,"")</f>
        <v/>
      </c>
      <c r="AD42" s="178"/>
      <c r="AE42" s="182" t="str">
        <f>IFERROR((AE39-AG39)/AE39,"")</f>
        <v/>
      </c>
      <c r="AF42" s="182" t="str">
        <f>IFERROR((AE39-AF39)/AE39,"")</f>
        <v/>
      </c>
      <c r="AG42" s="183" t="str">
        <f>IFERROR((AF39-AG39)/AF39,"")</f>
        <v/>
      </c>
      <c r="AH42" s="178"/>
      <c r="AI42" s="182" t="str">
        <f>IFERROR((AI39-AK39)/AI39,"")</f>
        <v/>
      </c>
      <c r="AJ42" s="182" t="str">
        <f>IFERROR((AI39-AJ39)/AI39,"")</f>
        <v/>
      </c>
      <c r="AK42" s="183" t="str">
        <f>IFERROR((AJ39-AK39)/AJ39,"")</f>
        <v/>
      </c>
      <c r="AL42" s="178"/>
      <c r="AM42" s="182" t="str">
        <f>IFERROR((AM39-AO39)/AM39,"")</f>
        <v/>
      </c>
      <c r="AN42" s="182" t="str">
        <f>IFERROR((AM39-AN39)/AM39,"")</f>
        <v/>
      </c>
      <c r="AO42" s="183" t="str">
        <f>IFERROR((AN39-AO39)/AN39,"")</f>
        <v/>
      </c>
      <c r="AP42" s="178"/>
      <c r="AQ42" s="182" t="str">
        <f>IFERROR((AQ39-AS39)/AQ39,"")</f>
        <v/>
      </c>
      <c r="AR42" s="182" t="str">
        <f>IFERROR((AQ39-AR39)/AQ39,"")</f>
        <v/>
      </c>
      <c r="AS42" s="183" t="str">
        <f>IFERROR((AR39-AS39)/AR39,"")</f>
        <v/>
      </c>
      <c r="AT42" s="178"/>
      <c r="AU42" s="182" t="str">
        <f>IFERROR((AU39-AW39)/AU39,"")</f>
        <v/>
      </c>
      <c r="AV42" s="182" t="str">
        <f>IFERROR((AU39-AV39)/AU39,"")</f>
        <v/>
      </c>
      <c r="AW42" s="183" t="str">
        <f>IFERROR((AV39-AW39)/AV39,"")</f>
        <v/>
      </c>
      <c r="AX42" s="178"/>
    </row>
    <row r="43" spans="2:51" x14ac:dyDescent="0.35">
      <c r="B43" s="267" t="s">
        <v>159</v>
      </c>
      <c r="C43" s="268"/>
      <c r="D43" s="268"/>
      <c r="E43" s="268"/>
      <c r="F43" s="269"/>
      <c r="G43" s="184" t="s">
        <v>160</v>
      </c>
      <c r="H43" s="184" t="s">
        <v>161</v>
      </c>
      <c r="I43" s="185" t="s">
        <v>162</v>
      </c>
      <c r="J43" s="178"/>
      <c r="K43" s="184" t="s">
        <v>160</v>
      </c>
      <c r="L43" s="184" t="s">
        <v>161</v>
      </c>
      <c r="M43" s="185" t="s">
        <v>162</v>
      </c>
      <c r="N43" s="178"/>
      <c r="O43" s="184" t="s">
        <v>160</v>
      </c>
      <c r="P43" s="184" t="s">
        <v>161</v>
      </c>
      <c r="Q43" s="185" t="s">
        <v>162</v>
      </c>
      <c r="R43" s="178"/>
      <c r="S43" s="179"/>
      <c r="T43" s="180"/>
      <c r="U43" s="180"/>
      <c r="V43" s="181"/>
      <c r="W43" s="184" t="s">
        <v>160</v>
      </c>
      <c r="X43" s="184" t="s">
        <v>161</v>
      </c>
      <c r="Y43" s="185" t="s">
        <v>162</v>
      </c>
      <c r="Z43" s="178"/>
      <c r="AA43" s="184" t="s">
        <v>160</v>
      </c>
      <c r="AB43" s="184" t="s">
        <v>161</v>
      </c>
      <c r="AC43" s="185" t="s">
        <v>162</v>
      </c>
      <c r="AD43" s="178"/>
      <c r="AE43" s="184" t="s">
        <v>160</v>
      </c>
      <c r="AF43" s="184" t="s">
        <v>161</v>
      </c>
      <c r="AG43" s="185" t="s">
        <v>162</v>
      </c>
      <c r="AH43" s="178"/>
      <c r="AI43" s="184" t="s">
        <v>160</v>
      </c>
      <c r="AJ43" s="184" t="s">
        <v>161</v>
      </c>
      <c r="AK43" s="185" t="s">
        <v>162</v>
      </c>
      <c r="AL43" s="178"/>
      <c r="AM43" s="184" t="s">
        <v>160</v>
      </c>
      <c r="AN43" s="184" t="s">
        <v>161</v>
      </c>
      <c r="AO43" s="185" t="s">
        <v>162</v>
      </c>
      <c r="AP43" s="178"/>
      <c r="AQ43" s="184" t="s">
        <v>160</v>
      </c>
      <c r="AR43" s="184" t="s">
        <v>161</v>
      </c>
      <c r="AS43" s="185" t="s">
        <v>162</v>
      </c>
      <c r="AT43" s="178"/>
      <c r="AU43" s="184" t="s">
        <v>160</v>
      </c>
      <c r="AV43" s="184" t="s">
        <v>161</v>
      </c>
      <c r="AW43" s="185" t="s">
        <v>162</v>
      </c>
      <c r="AX43" s="178"/>
    </row>
    <row r="44" spans="2:51" s="186" customFormat="1" ht="15.75" customHeight="1" x14ac:dyDescent="0.35">
      <c r="B44" s="336" t="s">
        <v>163</v>
      </c>
      <c r="C44" s="336"/>
      <c r="D44" s="336"/>
      <c r="E44" s="336"/>
      <c r="F44" s="336"/>
      <c r="G44" s="227"/>
      <c r="H44" s="227"/>
      <c r="I44" s="227"/>
      <c r="J44" s="299"/>
      <c r="K44" s="227"/>
      <c r="L44" s="227"/>
      <c r="M44" s="227"/>
      <c r="N44" s="299"/>
      <c r="O44" s="227"/>
      <c r="P44" s="227"/>
      <c r="Q44" s="227"/>
      <c r="R44" s="299"/>
      <c r="S44" s="118"/>
      <c r="T44" s="227"/>
      <c r="U44" s="227"/>
      <c r="V44" s="126"/>
      <c r="W44" s="227"/>
      <c r="X44" s="227"/>
      <c r="Y44" s="227"/>
      <c r="Z44" s="299"/>
      <c r="AA44" s="227"/>
      <c r="AB44" s="227"/>
      <c r="AC44" s="227"/>
      <c r="AD44" s="299"/>
      <c r="AE44" s="227"/>
      <c r="AF44" s="227"/>
      <c r="AG44" s="227"/>
      <c r="AH44" s="299"/>
      <c r="AI44" s="227"/>
      <c r="AJ44" s="227"/>
      <c r="AK44" s="227"/>
      <c r="AL44" s="299"/>
      <c r="AM44" s="227"/>
      <c r="AN44" s="227"/>
      <c r="AO44" s="227"/>
      <c r="AP44" s="299"/>
      <c r="AQ44" s="227"/>
      <c r="AR44" s="227"/>
      <c r="AS44" s="227"/>
      <c r="AT44" s="299"/>
      <c r="AU44" s="227"/>
      <c r="AV44" s="227"/>
      <c r="AW44" s="227"/>
      <c r="AX44" s="299"/>
    </row>
    <row r="45" spans="2:51" s="186" customFormat="1" ht="15.75" customHeight="1" x14ac:dyDescent="0.35">
      <c r="B45" s="336" t="s">
        <v>164</v>
      </c>
      <c r="C45" s="336"/>
      <c r="D45" s="336"/>
      <c r="E45" s="336"/>
      <c r="F45" s="336"/>
      <c r="G45" s="227"/>
      <c r="H45" s="227"/>
      <c r="I45" s="227"/>
      <c r="J45" s="227"/>
      <c r="K45" s="227"/>
      <c r="L45" s="227"/>
      <c r="M45" s="227"/>
      <c r="N45" s="227"/>
      <c r="O45" s="227"/>
      <c r="P45" s="227"/>
      <c r="Q45" s="227"/>
      <c r="R45" s="299"/>
      <c r="S45" s="118"/>
      <c r="T45" s="227"/>
      <c r="U45" s="227"/>
      <c r="V45" s="126"/>
      <c r="W45" s="227"/>
      <c r="X45" s="227"/>
      <c r="Y45" s="227"/>
      <c r="Z45" s="299"/>
      <c r="AA45" s="227"/>
      <c r="AB45" s="227"/>
      <c r="AC45" s="227"/>
      <c r="AD45" s="299"/>
      <c r="AE45" s="227"/>
      <c r="AF45" s="227"/>
      <c r="AG45" s="227"/>
      <c r="AH45" s="299"/>
      <c r="AI45" s="227"/>
      <c r="AJ45" s="227"/>
      <c r="AK45" s="227"/>
      <c r="AL45" s="299"/>
      <c r="AM45" s="227"/>
      <c r="AN45" s="227"/>
      <c r="AO45" s="227"/>
      <c r="AP45" s="299"/>
      <c r="AQ45" s="227"/>
      <c r="AR45" s="227"/>
      <c r="AS45" s="227"/>
      <c r="AT45" s="299"/>
      <c r="AU45" s="227"/>
      <c r="AV45" s="227"/>
      <c r="AW45" s="227"/>
      <c r="AX45" s="299"/>
    </row>
    <row r="46" spans="2:51" s="186" customFormat="1" ht="15.75" customHeight="1" x14ac:dyDescent="0.35">
      <c r="B46" s="342" t="s">
        <v>165</v>
      </c>
      <c r="C46" s="343"/>
      <c r="D46" s="209"/>
      <c r="E46" s="342" t="s">
        <v>166</v>
      </c>
      <c r="F46" s="343"/>
      <c r="G46" s="227"/>
      <c r="H46" s="227"/>
      <c r="I46" s="227"/>
      <c r="J46" s="227"/>
      <c r="K46" s="227"/>
      <c r="L46" s="227"/>
      <c r="M46" s="227"/>
      <c r="N46" s="227"/>
      <c r="O46" s="227"/>
      <c r="P46" s="227"/>
      <c r="Q46" s="227"/>
      <c r="R46" s="299"/>
      <c r="S46" s="118"/>
      <c r="T46" s="227"/>
      <c r="U46" s="227"/>
      <c r="V46" s="126"/>
      <c r="W46" s="227"/>
      <c r="X46" s="227"/>
      <c r="Y46" s="227"/>
      <c r="Z46" s="299"/>
      <c r="AA46" s="227"/>
      <c r="AB46" s="227"/>
      <c r="AC46" s="227"/>
      <c r="AD46" s="299"/>
      <c r="AE46" s="227"/>
      <c r="AF46" s="227"/>
      <c r="AG46" s="227"/>
      <c r="AH46" s="299"/>
      <c r="AI46" s="227"/>
      <c r="AJ46" s="227"/>
      <c r="AK46" s="227"/>
      <c r="AL46" s="299"/>
      <c r="AM46" s="227"/>
      <c r="AN46" s="227"/>
      <c r="AO46" s="227"/>
      <c r="AP46" s="299"/>
      <c r="AQ46" s="227"/>
      <c r="AR46" s="227"/>
      <c r="AS46" s="227"/>
      <c r="AT46" s="299"/>
      <c r="AU46" s="227"/>
      <c r="AV46" s="227"/>
      <c r="AW46" s="227"/>
      <c r="AX46" s="299"/>
    </row>
    <row r="47" spans="2:51" s="186" customFormat="1" ht="15.75" customHeight="1" x14ac:dyDescent="0.35">
      <c r="B47" s="342" t="s">
        <v>167</v>
      </c>
      <c r="C47" s="343"/>
      <c r="D47" s="209"/>
      <c r="E47" s="342" t="str">
        <f>"Budget in "&amp;D28</f>
        <v xml:space="preserve">Budget in </v>
      </c>
      <c r="F47" s="343"/>
      <c r="G47" s="208"/>
      <c r="H47" s="319"/>
      <c r="I47" s="320"/>
      <c r="J47" s="187" t="str">
        <f>IF(OR($G$47="",calc!Y3=""),"",IFERROR((calc!Y3/$G$47)-1,))</f>
        <v/>
      </c>
      <c r="K47" s="320"/>
      <c r="L47" s="320"/>
      <c r="M47" s="320"/>
      <c r="N47" s="187" t="str">
        <f>IF(OR($G$47="",calc!Y4=""),"",IFERROR((calc!Y4/$G$47)-1,))</f>
        <v/>
      </c>
      <c r="O47" s="320"/>
      <c r="P47" s="320"/>
      <c r="Q47" s="320"/>
      <c r="R47" s="187" t="str">
        <f>IF(OR($G$47="",calc!Y5=""),"",IFERROR((calc!Y5/$G$47)-1,))</f>
        <v/>
      </c>
      <c r="S47" s="188"/>
      <c r="T47" s="337"/>
      <c r="U47" s="187" t="str">
        <f>IF(OR($G$47="",T39=""),"",IFERROR((T39/$G$47)-1,))</f>
        <v/>
      </c>
      <c r="V47" s="188"/>
      <c r="W47" s="356"/>
      <c r="X47" s="356"/>
      <c r="Y47" s="356"/>
      <c r="Z47" s="187" t="str">
        <f>IF(OR($G$47="",calc!Y6=""),"",IFERROR((calc!Y6/$G$47)-1,))</f>
        <v/>
      </c>
      <c r="AA47" s="320"/>
      <c r="AB47" s="320"/>
      <c r="AC47" s="320"/>
      <c r="AD47" s="187" t="str">
        <f>IF(OR($G$47="",calc!Y7=""),"",IFERROR((calc!Y7/$G$47)-1,))</f>
        <v/>
      </c>
      <c r="AE47" s="320"/>
      <c r="AF47" s="320"/>
      <c r="AG47" s="320"/>
      <c r="AH47" s="187" t="str">
        <f>IF(OR($G$47="",calc!Y8=""),"",IFERROR((calc!Y8/$G$47)-1,))</f>
        <v/>
      </c>
      <c r="AI47" s="320"/>
      <c r="AJ47" s="320"/>
      <c r="AK47" s="320"/>
      <c r="AL47" s="187" t="str">
        <f>IF(OR($G$47="",calc!Y9=""),"",IFERROR((calc!Y9/$G$47)-1,))</f>
        <v/>
      </c>
      <c r="AM47" s="320"/>
      <c r="AN47" s="320"/>
      <c r="AO47" s="320"/>
      <c r="AP47" s="187" t="str">
        <f>IF(OR($G$47="",calc!Y10=""),"",IFERROR((calc!Y10/$G$47)-1,))</f>
        <v/>
      </c>
      <c r="AQ47" s="320"/>
      <c r="AR47" s="320"/>
      <c r="AS47" s="320"/>
      <c r="AT47" s="187" t="str">
        <f>IF(OR($G$47="",calc!Y11=""),"",IFERROR((calc!Y11/$G$47)-1,))</f>
        <v/>
      </c>
      <c r="AU47" s="320"/>
      <c r="AV47" s="320"/>
      <c r="AW47" s="320"/>
      <c r="AX47" s="187" t="str">
        <f>IF(OR($G$47="",calc!Y12=""),"",IFERROR((calc!Y12/$G$47)-1,))</f>
        <v/>
      </c>
    </row>
    <row r="48" spans="2:51" s="186" customFormat="1" ht="15.75" customHeight="1" x14ac:dyDescent="0.35">
      <c r="B48" s="336" t="str">
        <f>"In case of Cust. funded: Revenue in "&amp;D28</f>
        <v xml:space="preserve">In case of Cust. funded: Revenue in </v>
      </c>
      <c r="C48" s="336"/>
      <c r="D48" s="336"/>
      <c r="E48" s="336"/>
      <c r="F48" s="336"/>
      <c r="G48" s="208"/>
      <c r="H48" s="355"/>
      <c r="I48" s="334"/>
      <c r="J48" s="187" t="str">
        <f>IF(OR($G$48="",calc!Y3=""),"",IFERROR((calc!Y3/$G$48)-1,))</f>
        <v/>
      </c>
      <c r="K48" s="334"/>
      <c r="L48" s="334"/>
      <c r="M48" s="334"/>
      <c r="N48" s="187" t="str">
        <f>IF(OR($G$48="",calc!Y4=""),"",IFERROR((calc!Y4/$G$48)-1,))</f>
        <v/>
      </c>
      <c r="O48" s="334"/>
      <c r="P48" s="334"/>
      <c r="Q48" s="334"/>
      <c r="R48" s="187" t="str">
        <f>IF(OR($G$48="",calc!Y5=""),"",IFERROR((calc!Y5/$G$48)-1,))</f>
        <v/>
      </c>
      <c r="S48" s="188"/>
      <c r="T48" s="338"/>
      <c r="U48" s="187" t="str">
        <f>IF(OR($G$48="",T39=""),"",IFERROR((T39/$G$48)-1,))</f>
        <v/>
      </c>
      <c r="V48" s="188"/>
      <c r="W48" s="356"/>
      <c r="X48" s="356"/>
      <c r="Y48" s="356"/>
      <c r="Z48" s="187" t="str">
        <f>IF(OR($G$48="",calc!Y6=""),"",IFERROR((calc!Y6/$G$48)-1,))</f>
        <v/>
      </c>
      <c r="AA48" s="334"/>
      <c r="AB48" s="334"/>
      <c r="AC48" s="334"/>
      <c r="AD48" s="187" t="str">
        <f>IF(OR($G$48="",calc!Y7=""),"",IFERROR((calc!Y7/$G$48)-1,))</f>
        <v/>
      </c>
      <c r="AE48" s="334"/>
      <c r="AF48" s="334"/>
      <c r="AG48" s="334"/>
      <c r="AH48" s="187" t="str">
        <f>IF(OR($G$48="",calc!Y8=""),"",IFERROR((calc!Y8/$G$48)-1,))</f>
        <v/>
      </c>
      <c r="AI48" s="334"/>
      <c r="AJ48" s="334"/>
      <c r="AK48" s="334"/>
      <c r="AL48" s="187" t="str">
        <f>IF(OR($G$48="",calc!Y9=""),"",IFERROR((calc!Y9/$G$48)-1,))</f>
        <v/>
      </c>
      <c r="AM48" s="334"/>
      <c r="AN48" s="334"/>
      <c r="AO48" s="334"/>
      <c r="AP48" s="187" t="str">
        <f>IF(OR($G$48="",calc!Y10=""),"",IFERROR((calc!Y10/$G$48)-1,))</f>
        <v/>
      </c>
      <c r="AQ48" s="334"/>
      <c r="AR48" s="334"/>
      <c r="AS48" s="334"/>
      <c r="AT48" s="187" t="str">
        <f>IF(OR($G$48="",calc!Y11=""),"",IFERROR((calc!Y11/$G$48)-1,))</f>
        <v/>
      </c>
      <c r="AU48" s="334"/>
      <c r="AV48" s="334"/>
      <c r="AW48" s="334"/>
      <c r="AX48" s="187" t="str">
        <f>IF(OR($G$48="",calc!Y12=""),"",IFERROR((calc!Y12/$G$48)-1,))</f>
        <v/>
      </c>
    </row>
    <row r="49" spans="2:50" s="186" customFormat="1" ht="15.75" customHeight="1" x14ac:dyDescent="0.35">
      <c r="B49" s="342" t="str">
        <f>"Target against Budget"</f>
        <v>Target against Budget</v>
      </c>
      <c r="C49" s="343"/>
      <c r="D49" s="210"/>
      <c r="E49" s="342" t="str">
        <f>"in "&amp;D28</f>
        <v xml:space="preserve">in </v>
      </c>
      <c r="F49" s="343"/>
      <c r="G49" s="208" t="str">
        <f>IFERROR(IF(D49="","",G47*(1-D49)),"")</f>
        <v/>
      </c>
      <c r="H49" s="322"/>
      <c r="I49" s="323"/>
      <c r="J49" s="187" t="str">
        <f>IF(OR($G$49="",calc!Y3=""),"",IFERROR((calc!Y3/$G$49)-1,))</f>
        <v/>
      </c>
      <c r="K49" s="323"/>
      <c r="L49" s="323"/>
      <c r="M49" s="323"/>
      <c r="N49" s="187" t="str">
        <f>IF(OR($G$49="",calc!Y4=""),"",IFERROR((calc!Y4/$G$49)-1,))</f>
        <v/>
      </c>
      <c r="O49" s="323"/>
      <c r="P49" s="323"/>
      <c r="Q49" s="323"/>
      <c r="R49" s="187" t="str">
        <f>IF(OR($G$49="",calc!Y5=""),"",IFERROR((calc!Y5/$G$49)-1,))</f>
        <v/>
      </c>
      <c r="S49" s="188"/>
      <c r="T49" s="339"/>
      <c r="U49" s="187" t="str">
        <f>IF(OR($G$49="",T39=""),"",IFERROR((T39/$G$49)-1,))</f>
        <v/>
      </c>
      <c r="V49" s="188"/>
      <c r="W49" s="356"/>
      <c r="X49" s="356"/>
      <c r="Y49" s="356"/>
      <c r="Z49" s="187" t="str">
        <f>IF(OR($G$49="",calc!Y6=""),"",IFERROR((calc!Y6/$G$49)-1,))</f>
        <v/>
      </c>
      <c r="AA49" s="323"/>
      <c r="AB49" s="323"/>
      <c r="AC49" s="323"/>
      <c r="AD49" s="187" t="str">
        <f>IF(OR($G$49="",calc!Y7=""),"",IFERROR((calc!Y7/$G$49)-1,))</f>
        <v/>
      </c>
      <c r="AE49" s="323"/>
      <c r="AF49" s="323"/>
      <c r="AG49" s="323"/>
      <c r="AH49" s="187" t="str">
        <f>IF(OR($G$49="",calc!Y8=""),"",IFERROR((calc!Y8/$G$49)-1,))</f>
        <v/>
      </c>
      <c r="AI49" s="323"/>
      <c r="AJ49" s="323"/>
      <c r="AK49" s="323"/>
      <c r="AL49" s="187" t="str">
        <f>IF(OR($G$49="",calc!Y9=""),"",IFERROR((calc!Y9/$G$49)-1,))</f>
        <v/>
      </c>
      <c r="AM49" s="323"/>
      <c r="AN49" s="323"/>
      <c r="AO49" s="323"/>
      <c r="AP49" s="187" t="str">
        <f>IF(OR($G$49="",calc!Y10=""),"",IFERROR((calc!Y10/$G$49)-1,))</f>
        <v/>
      </c>
      <c r="AQ49" s="323"/>
      <c r="AR49" s="323"/>
      <c r="AS49" s="323"/>
      <c r="AT49" s="187" t="str">
        <f>IF(OR($G$49="",calc!Y11=""),"",IFERROR((calc!Y11/$G$49)-1,))</f>
        <v/>
      </c>
      <c r="AU49" s="323"/>
      <c r="AV49" s="323"/>
      <c r="AW49" s="323"/>
      <c r="AX49" s="187" t="str">
        <f>IF(OR($G$49="",calc!Y12=""),"",IFERROR((calc!Y12/$G$49)-1,))</f>
        <v/>
      </c>
    </row>
    <row r="50" spans="2:50" ht="18.75" customHeight="1" x14ac:dyDescent="0.35">
      <c r="B50" s="223"/>
      <c r="C50" s="223"/>
      <c r="D50" s="223"/>
      <c r="E50" s="223"/>
      <c r="F50" s="223"/>
      <c r="G50" s="341" t="s">
        <v>168</v>
      </c>
      <c r="H50" s="341"/>
      <c r="I50" s="341" t="s">
        <v>169</v>
      </c>
      <c r="J50" s="341"/>
      <c r="K50" s="341" t="s">
        <v>168</v>
      </c>
      <c r="L50" s="341"/>
      <c r="M50" s="341" t="s">
        <v>169</v>
      </c>
      <c r="N50" s="341"/>
      <c r="O50" s="341" t="s">
        <v>168</v>
      </c>
      <c r="P50" s="341"/>
      <c r="Q50" s="341" t="s">
        <v>169</v>
      </c>
      <c r="R50" s="341"/>
      <c r="S50" s="189"/>
      <c r="T50" s="341" t="s">
        <v>169</v>
      </c>
      <c r="U50" s="341"/>
      <c r="V50" s="190"/>
      <c r="W50" s="341" t="s">
        <v>168</v>
      </c>
      <c r="X50" s="341"/>
      <c r="Y50" s="341" t="s">
        <v>169</v>
      </c>
      <c r="Z50" s="341"/>
      <c r="AA50" s="341" t="s">
        <v>168</v>
      </c>
      <c r="AB50" s="341"/>
      <c r="AC50" s="341" t="s">
        <v>169</v>
      </c>
      <c r="AD50" s="341"/>
      <c r="AE50" s="341" t="s">
        <v>168</v>
      </c>
      <c r="AF50" s="341"/>
      <c r="AG50" s="341" t="s">
        <v>169</v>
      </c>
      <c r="AH50" s="341"/>
      <c r="AI50" s="341" t="s">
        <v>168</v>
      </c>
      <c r="AJ50" s="341"/>
      <c r="AK50" s="341" t="s">
        <v>169</v>
      </c>
      <c r="AL50" s="341"/>
      <c r="AM50" s="341" t="s">
        <v>168</v>
      </c>
      <c r="AN50" s="341"/>
      <c r="AO50" s="341" t="s">
        <v>169</v>
      </c>
      <c r="AP50" s="341"/>
      <c r="AQ50" s="341" t="s">
        <v>168</v>
      </c>
      <c r="AR50" s="341"/>
      <c r="AS50" s="341" t="s">
        <v>169</v>
      </c>
      <c r="AT50" s="341"/>
      <c r="AU50" s="341" t="s">
        <v>168</v>
      </c>
      <c r="AV50" s="341"/>
      <c r="AW50" s="341" t="s">
        <v>169</v>
      </c>
      <c r="AX50" s="341"/>
    </row>
    <row r="51" spans="2:50" s="186" customFormat="1" ht="15.75" customHeight="1" x14ac:dyDescent="0.35">
      <c r="B51" s="336" t="s">
        <v>170</v>
      </c>
      <c r="C51" s="336"/>
      <c r="D51" s="336"/>
      <c r="E51" s="336"/>
      <c r="F51" s="336"/>
      <c r="G51" s="227"/>
      <c r="H51" s="227"/>
      <c r="I51" s="227"/>
      <c r="J51" s="227"/>
      <c r="K51" s="227"/>
      <c r="L51" s="227"/>
      <c r="M51" s="227"/>
      <c r="N51" s="227"/>
      <c r="O51" s="227"/>
      <c r="P51" s="227"/>
      <c r="Q51" s="227"/>
      <c r="R51" s="227"/>
      <c r="S51" s="118"/>
      <c r="T51" s="227"/>
      <c r="U51" s="227"/>
      <c r="V51" s="126"/>
      <c r="W51" s="227"/>
      <c r="X51" s="227"/>
      <c r="Y51" s="227"/>
      <c r="Z51" s="227"/>
      <c r="AA51" s="227"/>
      <c r="AB51" s="227"/>
      <c r="AC51" s="227"/>
      <c r="AD51" s="227"/>
      <c r="AE51" s="227"/>
      <c r="AF51" s="227"/>
      <c r="AG51" s="227"/>
      <c r="AH51" s="227"/>
      <c r="AI51" s="227"/>
      <c r="AJ51" s="227"/>
      <c r="AK51" s="227"/>
      <c r="AL51" s="227"/>
      <c r="AM51" s="227"/>
      <c r="AN51" s="227"/>
      <c r="AO51" s="227"/>
      <c r="AP51" s="227"/>
      <c r="AQ51" s="227"/>
      <c r="AR51" s="227"/>
      <c r="AS51" s="227"/>
      <c r="AT51" s="227"/>
      <c r="AU51" s="227"/>
      <c r="AV51" s="227"/>
      <c r="AW51" s="227"/>
      <c r="AX51" s="227"/>
    </row>
    <row r="52" spans="2:50" s="186" customFormat="1" ht="15.75" customHeight="1" x14ac:dyDescent="0.35">
      <c r="B52" s="336" t="s">
        <v>173</v>
      </c>
      <c r="C52" s="336"/>
      <c r="D52" s="336"/>
      <c r="E52" s="336"/>
      <c r="F52" s="336"/>
      <c r="G52" s="227"/>
      <c r="H52" s="227"/>
      <c r="I52" s="227"/>
      <c r="J52" s="227"/>
      <c r="K52" s="227"/>
      <c r="L52" s="227"/>
      <c r="M52" s="227"/>
      <c r="N52" s="227"/>
      <c r="O52" s="227"/>
      <c r="P52" s="227"/>
      <c r="Q52" s="227"/>
      <c r="R52" s="227"/>
      <c r="S52" s="118"/>
      <c r="T52" s="227"/>
      <c r="U52" s="227"/>
      <c r="V52" s="126"/>
      <c r="W52" s="227"/>
      <c r="X52" s="227"/>
      <c r="Y52" s="227"/>
      <c r="Z52" s="227"/>
      <c r="AA52" s="227"/>
      <c r="AB52" s="227"/>
      <c r="AC52" s="227"/>
      <c r="AD52" s="227"/>
      <c r="AE52" s="227"/>
      <c r="AF52" s="227"/>
      <c r="AG52" s="227"/>
      <c r="AH52" s="227"/>
      <c r="AI52" s="227"/>
      <c r="AJ52" s="227"/>
      <c r="AK52" s="227"/>
      <c r="AL52" s="227"/>
      <c r="AM52" s="227"/>
      <c r="AN52" s="227"/>
      <c r="AO52" s="227"/>
      <c r="AP52" s="227"/>
      <c r="AQ52" s="227"/>
      <c r="AR52" s="227"/>
      <c r="AS52" s="227"/>
      <c r="AT52" s="227"/>
      <c r="AU52" s="227"/>
      <c r="AV52" s="227"/>
      <c r="AW52" s="227"/>
      <c r="AX52" s="227"/>
    </row>
    <row r="53" spans="2:50" s="186" customFormat="1" ht="15.75" customHeight="1" x14ac:dyDescent="0.35">
      <c r="B53" s="336" t="s">
        <v>171</v>
      </c>
      <c r="C53" s="336"/>
      <c r="D53" s="336"/>
      <c r="E53" s="336"/>
      <c r="F53" s="336"/>
      <c r="G53" s="227"/>
      <c r="H53" s="227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118"/>
      <c r="T53" s="227"/>
      <c r="U53" s="227"/>
      <c r="V53" s="126"/>
      <c r="W53" s="227"/>
      <c r="X53" s="227"/>
      <c r="Y53" s="227"/>
      <c r="Z53" s="227"/>
      <c r="AA53" s="227"/>
      <c r="AB53" s="227"/>
      <c r="AC53" s="227"/>
      <c r="AD53" s="227"/>
      <c r="AE53" s="227"/>
      <c r="AF53" s="227"/>
      <c r="AG53" s="227"/>
      <c r="AH53" s="227"/>
      <c r="AI53" s="227"/>
      <c r="AJ53" s="227"/>
      <c r="AK53" s="227"/>
      <c r="AL53" s="227"/>
      <c r="AM53" s="227"/>
      <c r="AN53" s="227"/>
      <c r="AO53" s="227"/>
      <c r="AP53" s="227"/>
      <c r="AQ53" s="227"/>
      <c r="AR53" s="227"/>
      <c r="AS53" s="227"/>
      <c r="AT53" s="227"/>
      <c r="AU53" s="227"/>
      <c r="AV53" s="227"/>
      <c r="AW53" s="227"/>
      <c r="AX53" s="227"/>
    </row>
    <row r="54" spans="2:50" s="186" customFormat="1" ht="15.75" customHeight="1" x14ac:dyDescent="0.35">
      <c r="B54" s="336" t="s">
        <v>172</v>
      </c>
      <c r="C54" s="336"/>
      <c r="D54" s="336"/>
      <c r="E54" s="336"/>
      <c r="F54" s="336"/>
      <c r="G54" s="227"/>
      <c r="H54" s="227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118"/>
      <c r="T54" s="227"/>
      <c r="U54" s="227"/>
      <c r="V54" s="126"/>
      <c r="W54" s="227"/>
      <c r="X54" s="227"/>
      <c r="Y54" s="227"/>
      <c r="Z54" s="227"/>
      <c r="AA54" s="227"/>
      <c r="AB54" s="227"/>
      <c r="AC54" s="227"/>
      <c r="AD54" s="227"/>
      <c r="AE54" s="227"/>
      <c r="AF54" s="227"/>
      <c r="AG54" s="227"/>
      <c r="AH54" s="227"/>
      <c r="AI54" s="227"/>
      <c r="AJ54" s="227"/>
      <c r="AK54" s="227"/>
      <c r="AL54" s="227"/>
      <c r="AM54" s="227"/>
      <c r="AN54" s="227"/>
      <c r="AO54" s="227"/>
      <c r="AP54" s="227"/>
      <c r="AQ54" s="227"/>
      <c r="AR54" s="227"/>
      <c r="AS54" s="227"/>
      <c r="AT54" s="227"/>
      <c r="AU54" s="227"/>
      <c r="AV54" s="227"/>
      <c r="AW54" s="227"/>
      <c r="AX54" s="227"/>
    </row>
    <row r="55" spans="2:50" s="186" customFormat="1" ht="15.75" customHeight="1" x14ac:dyDescent="0.35">
      <c r="B55" s="336" t="s">
        <v>174</v>
      </c>
      <c r="C55" s="336"/>
      <c r="D55" s="336"/>
      <c r="E55" s="336"/>
      <c r="F55" s="336"/>
      <c r="G55" s="227"/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118"/>
      <c r="T55" s="227"/>
      <c r="U55" s="227"/>
      <c r="V55" s="126"/>
      <c r="W55" s="227"/>
      <c r="X55" s="227"/>
      <c r="Y55" s="227"/>
      <c r="Z55" s="227"/>
      <c r="AA55" s="227"/>
      <c r="AB55" s="227"/>
      <c r="AC55" s="227"/>
      <c r="AD55" s="227"/>
      <c r="AE55" s="227"/>
      <c r="AF55" s="227"/>
      <c r="AG55" s="227"/>
      <c r="AH55" s="227"/>
      <c r="AI55" s="227"/>
      <c r="AJ55" s="227"/>
      <c r="AK55" s="227"/>
      <c r="AL55" s="227"/>
      <c r="AM55" s="227"/>
      <c r="AN55" s="227"/>
      <c r="AO55" s="227"/>
      <c r="AP55" s="227"/>
      <c r="AQ55" s="227"/>
      <c r="AR55" s="227"/>
      <c r="AS55" s="227"/>
      <c r="AT55" s="227"/>
      <c r="AU55" s="227"/>
      <c r="AV55" s="227"/>
      <c r="AW55" s="227"/>
      <c r="AX55" s="227"/>
    </row>
    <row r="56" spans="2:50" s="186" customFormat="1" ht="15.75" customHeight="1" x14ac:dyDescent="0.35">
      <c r="B56" s="336" t="s">
        <v>176</v>
      </c>
      <c r="C56" s="336"/>
      <c r="D56" s="336"/>
      <c r="E56" s="336"/>
      <c r="F56" s="336"/>
      <c r="G56" s="227"/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118"/>
      <c r="T56" s="227"/>
      <c r="U56" s="227"/>
      <c r="V56" s="126"/>
      <c r="W56" s="227"/>
      <c r="X56" s="227"/>
      <c r="Y56" s="227"/>
      <c r="Z56" s="227"/>
      <c r="AA56" s="227"/>
      <c r="AB56" s="227"/>
      <c r="AC56" s="227"/>
      <c r="AD56" s="227"/>
      <c r="AE56" s="227"/>
      <c r="AF56" s="227"/>
      <c r="AG56" s="227"/>
      <c r="AH56" s="227"/>
      <c r="AI56" s="227"/>
      <c r="AJ56" s="227"/>
      <c r="AK56" s="227"/>
      <c r="AL56" s="227"/>
      <c r="AM56" s="227"/>
      <c r="AN56" s="227"/>
      <c r="AO56" s="227"/>
      <c r="AP56" s="227"/>
      <c r="AQ56" s="227"/>
      <c r="AR56" s="227"/>
      <c r="AS56" s="227"/>
      <c r="AT56" s="227"/>
      <c r="AU56" s="227"/>
      <c r="AV56" s="227"/>
      <c r="AW56" s="227"/>
      <c r="AX56" s="227"/>
    </row>
    <row r="57" spans="2:50" s="186" customFormat="1" ht="15.75" customHeight="1" x14ac:dyDescent="0.35">
      <c r="B57" s="336" t="s">
        <v>175</v>
      </c>
      <c r="C57" s="336"/>
      <c r="D57" s="336"/>
      <c r="E57" s="336"/>
      <c r="F57" s="336"/>
      <c r="G57" s="227"/>
      <c r="H57" s="227"/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118"/>
      <c r="T57" s="227"/>
      <c r="U57" s="227"/>
      <c r="V57" s="126"/>
      <c r="W57" s="227"/>
      <c r="X57" s="227"/>
      <c r="Y57" s="227"/>
      <c r="Z57" s="227"/>
      <c r="AA57" s="227"/>
      <c r="AB57" s="227"/>
      <c r="AC57" s="227"/>
      <c r="AD57" s="227"/>
      <c r="AE57" s="227"/>
      <c r="AF57" s="227"/>
      <c r="AG57" s="227"/>
      <c r="AH57" s="227"/>
      <c r="AI57" s="227"/>
      <c r="AJ57" s="227"/>
      <c r="AK57" s="227"/>
      <c r="AL57" s="227"/>
      <c r="AM57" s="227"/>
      <c r="AN57" s="227"/>
      <c r="AO57" s="227"/>
      <c r="AP57" s="227"/>
      <c r="AQ57" s="227"/>
      <c r="AR57" s="227"/>
      <c r="AS57" s="227"/>
      <c r="AT57" s="227"/>
      <c r="AU57" s="227"/>
      <c r="AV57" s="227"/>
      <c r="AW57" s="227"/>
      <c r="AX57" s="227"/>
    </row>
    <row r="58" spans="2:50" s="186" customFormat="1" ht="15.75" customHeight="1" x14ac:dyDescent="0.35">
      <c r="B58" s="336" t="s">
        <v>177</v>
      </c>
      <c r="C58" s="336"/>
      <c r="D58" s="336"/>
      <c r="E58" s="336"/>
      <c r="F58" s="336"/>
      <c r="G58" s="227"/>
      <c r="H58" s="227"/>
      <c r="I58" s="227"/>
      <c r="J58" s="227"/>
      <c r="K58" s="227"/>
      <c r="L58" s="227"/>
      <c r="M58" s="227"/>
      <c r="N58" s="227"/>
      <c r="O58" s="227"/>
      <c r="P58" s="227"/>
      <c r="Q58" s="227"/>
      <c r="R58" s="227"/>
      <c r="S58" s="118"/>
      <c r="T58" s="227"/>
      <c r="U58" s="227"/>
      <c r="V58" s="126"/>
      <c r="W58" s="227"/>
      <c r="X58" s="227"/>
      <c r="Y58" s="227"/>
      <c r="Z58" s="227"/>
      <c r="AA58" s="227"/>
      <c r="AB58" s="227"/>
      <c r="AC58" s="227"/>
      <c r="AD58" s="227"/>
      <c r="AE58" s="227"/>
      <c r="AF58" s="227"/>
      <c r="AG58" s="227"/>
      <c r="AH58" s="227"/>
      <c r="AI58" s="227"/>
      <c r="AJ58" s="227"/>
      <c r="AK58" s="227"/>
      <c r="AL58" s="227"/>
      <c r="AM58" s="227"/>
      <c r="AN58" s="227"/>
      <c r="AO58" s="227"/>
      <c r="AP58" s="227"/>
      <c r="AQ58" s="227"/>
      <c r="AR58" s="227"/>
      <c r="AS58" s="227"/>
      <c r="AT58" s="227"/>
      <c r="AU58" s="227"/>
      <c r="AV58" s="227"/>
      <c r="AW58" s="227"/>
      <c r="AX58" s="227"/>
    </row>
    <row r="59" spans="2:50" s="186" customFormat="1" ht="17.25" customHeight="1" x14ac:dyDescent="0.35">
      <c r="B59" s="336" t="s">
        <v>178</v>
      </c>
      <c r="C59" s="336"/>
      <c r="D59" s="336"/>
      <c r="E59" s="336"/>
      <c r="F59" s="336"/>
      <c r="G59" s="227"/>
      <c r="H59" s="227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118"/>
      <c r="T59" s="227"/>
      <c r="U59" s="227"/>
      <c r="V59" s="126"/>
      <c r="W59" s="227"/>
      <c r="X59" s="227"/>
      <c r="Y59" s="227"/>
      <c r="Z59" s="227"/>
      <c r="AA59" s="227"/>
      <c r="AB59" s="227"/>
      <c r="AC59" s="227"/>
      <c r="AD59" s="227"/>
      <c r="AE59" s="227"/>
      <c r="AF59" s="227"/>
      <c r="AG59" s="227"/>
      <c r="AH59" s="227"/>
      <c r="AI59" s="227"/>
      <c r="AJ59" s="227"/>
      <c r="AK59" s="227"/>
      <c r="AL59" s="227"/>
      <c r="AM59" s="227"/>
      <c r="AN59" s="227"/>
      <c r="AO59" s="227"/>
      <c r="AP59" s="227"/>
      <c r="AQ59" s="227"/>
      <c r="AR59" s="227"/>
      <c r="AS59" s="227"/>
      <c r="AT59" s="227"/>
      <c r="AU59" s="227"/>
      <c r="AV59" s="227"/>
      <c r="AW59" s="227"/>
      <c r="AX59" s="227"/>
    </row>
    <row r="60" spans="2:50" ht="15.75" customHeight="1" x14ac:dyDescent="0.35">
      <c r="B60" s="223" t="s">
        <v>179</v>
      </c>
      <c r="C60" s="223"/>
      <c r="D60" s="223"/>
      <c r="E60" s="223"/>
      <c r="F60" s="223"/>
      <c r="G60" s="260"/>
      <c r="H60" s="260"/>
      <c r="I60" s="260"/>
      <c r="J60" s="260"/>
      <c r="K60" s="260"/>
      <c r="L60" s="260"/>
      <c r="M60" s="260"/>
      <c r="N60" s="260"/>
      <c r="O60" s="260"/>
      <c r="P60" s="260"/>
      <c r="Q60" s="260"/>
      <c r="R60" s="260"/>
      <c r="S60" s="117"/>
      <c r="T60" s="260"/>
      <c r="U60" s="260"/>
      <c r="V60" s="125"/>
      <c r="W60" s="260"/>
      <c r="X60" s="260"/>
      <c r="Y60" s="260"/>
      <c r="Z60" s="260"/>
      <c r="AA60" s="260"/>
      <c r="AB60" s="260"/>
      <c r="AC60" s="260"/>
      <c r="AD60" s="260"/>
      <c r="AE60" s="260"/>
      <c r="AF60" s="260"/>
      <c r="AG60" s="260"/>
      <c r="AH60" s="260"/>
      <c r="AI60" s="260"/>
      <c r="AJ60" s="260"/>
      <c r="AK60" s="260"/>
      <c r="AL60" s="260"/>
      <c r="AM60" s="260"/>
      <c r="AN60" s="260"/>
      <c r="AO60" s="260"/>
      <c r="AP60" s="260"/>
      <c r="AQ60" s="260"/>
      <c r="AR60" s="260"/>
      <c r="AS60" s="260"/>
      <c r="AT60" s="260"/>
      <c r="AU60" s="260"/>
      <c r="AV60" s="260"/>
      <c r="AW60" s="260"/>
      <c r="AX60" s="260"/>
    </row>
    <row r="61" spans="2:50" ht="15.75" customHeight="1" x14ac:dyDescent="0.35">
      <c r="B61" s="223" t="s">
        <v>180</v>
      </c>
      <c r="C61" s="223"/>
      <c r="D61" s="223"/>
      <c r="E61" s="223"/>
      <c r="F61" s="223"/>
      <c r="G61" s="260"/>
      <c r="H61" s="260"/>
      <c r="I61" s="260"/>
      <c r="J61" s="260"/>
      <c r="K61" s="260"/>
      <c r="L61" s="260"/>
      <c r="M61" s="260"/>
      <c r="N61" s="260"/>
      <c r="O61" s="260"/>
      <c r="P61" s="260"/>
      <c r="Q61" s="260"/>
      <c r="R61" s="260"/>
      <c r="S61" s="117"/>
      <c r="T61" s="260"/>
      <c r="U61" s="260"/>
      <c r="V61" s="125"/>
      <c r="W61" s="260"/>
      <c r="X61" s="260"/>
      <c r="Y61" s="260"/>
      <c r="Z61" s="260"/>
      <c r="AA61" s="260"/>
      <c r="AB61" s="260"/>
      <c r="AC61" s="260"/>
      <c r="AD61" s="260"/>
      <c r="AE61" s="260"/>
      <c r="AF61" s="260"/>
      <c r="AG61" s="260"/>
      <c r="AH61" s="260"/>
      <c r="AI61" s="260"/>
      <c r="AJ61" s="260"/>
      <c r="AK61" s="260"/>
      <c r="AL61" s="260"/>
      <c r="AM61" s="260"/>
      <c r="AN61" s="260"/>
      <c r="AO61" s="260"/>
      <c r="AP61" s="260"/>
      <c r="AQ61" s="260"/>
      <c r="AR61" s="260"/>
      <c r="AS61" s="260"/>
      <c r="AT61" s="260"/>
      <c r="AU61" s="260"/>
      <c r="AV61" s="260"/>
      <c r="AW61" s="260"/>
      <c r="AX61" s="260"/>
    </row>
    <row r="62" spans="2:50" s="186" customFormat="1" ht="46.5" customHeight="1" x14ac:dyDescent="0.35">
      <c r="B62" s="336" t="s">
        <v>181</v>
      </c>
      <c r="C62" s="336"/>
      <c r="D62" s="336"/>
      <c r="E62" s="336"/>
      <c r="F62" s="336"/>
      <c r="G62" s="227"/>
      <c r="H62" s="227"/>
      <c r="I62" s="227"/>
      <c r="J62" s="227"/>
      <c r="K62" s="227"/>
      <c r="L62" s="227"/>
      <c r="M62" s="227"/>
      <c r="N62" s="227"/>
      <c r="O62" s="227"/>
      <c r="P62" s="227"/>
      <c r="Q62" s="227"/>
      <c r="R62" s="227"/>
      <c r="S62" s="118"/>
      <c r="T62" s="227"/>
      <c r="U62" s="227"/>
      <c r="V62" s="126"/>
      <c r="W62" s="227"/>
      <c r="X62" s="227"/>
      <c r="Y62" s="227"/>
      <c r="Z62" s="227"/>
      <c r="AA62" s="227"/>
      <c r="AB62" s="227"/>
      <c r="AC62" s="227"/>
      <c r="AD62" s="227"/>
      <c r="AE62" s="227"/>
      <c r="AF62" s="227"/>
      <c r="AG62" s="227"/>
      <c r="AH62" s="227"/>
      <c r="AI62" s="227"/>
      <c r="AJ62" s="227"/>
      <c r="AK62" s="227"/>
      <c r="AL62" s="227"/>
      <c r="AM62" s="227"/>
      <c r="AN62" s="227"/>
      <c r="AO62" s="227"/>
      <c r="AP62" s="227"/>
      <c r="AQ62" s="227"/>
      <c r="AR62" s="227"/>
      <c r="AS62" s="227"/>
      <c r="AT62" s="227"/>
      <c r="AU62" s="227"/>
      <c r="AV62" s="227"/>
      <c r="AW62" s="227"/>
      <c r="AX62" s="227"/>
    </row>
    <row r="63" spans="2:50" ht="48.75" customHeight="1" x14ac:dyDescent="0.35">
      <c r="B63" s="223" t="s">
        <v>182</v>
      </c>
      <c r="C63" s="223"/>
      <c r="D63" s="223"/>
      <c r="E63" s="223"/>
      <c r="F63" s="223"/>
      <c r="G63" s="252"/>
      <c r="H63" s="253"/>
      <c r="I63" s="253"/>
      <c r="J63" s="253"/>
      <c r="K63" s="253"/>
      <c r="L63" s="253"/>
      <c r="M63" s="253"/>
      <c r="N63" s="253"/>
      <c r="O63" s="253"/>
      <c r="P63" s="253"/>
      <c r="Q63" s="253"/>
      <c r="R63" s="254"/>
      <c r="S63" s="124"/>
      <c r="T63" s="207"/>
      <c r="U63" s="207"/>
      <c r="V63" s="132"/>
      <c r="W63" s="132"/>
      <c r="X63" s="132"/>
      <c r="Y63" s="132"/>
      <c r="Z63" s="132"/>
      <c r="AA63" s="132"/>
      <c r="AB63" s="132"/>
      <c r="AC63" s="132"/>
      <c r="AD63" s="132"/>
      <c r="AE63" s="132"/>
      <c r="AF63" s="132"/>
      <c r="AG63" s="132"/>
      <c r="AH63" s="132"/>
      <c r="AI63" s="132"/>
      <c r="AJ63" s="132"/>
      <c r="AK63" s="132"/>
      <c r="AL63" s="132"/>
      <c r="AM63" s="132"/>
      <c r="AN63" s="132"/>
      <c r="AO63" s="132"/>
      <c r="AP63" s="132"/>
      <c r="AQ63" s="132"/>
      <c r="AR63" s="132"/>
      <c r="AS63" s="132"/>
      <c r="AT63" s="132"/>
      <c r="AU63" s="132"/>
      <c r="AV63" s="132"/>
      <c r="AW63" s="132"/>
      <c r="AX63" s="132"/>
    </row>
    <row r="64" spans="2:50" ht="22.5" customHeight="1" x14ac:dyDescent="0.35">
      <c r="B64" s="292" t="s">
        <v>183</v>
      </c>
      <c r="C64" s="292"/>
      <c r="D64" s="292"/>
      <c r="E64" s="293" t="str">
        <f>IFERROR(IF(M7="","",VLOOKUP(G66,calc!B3:R12,15,FALSE)),"")</f>
        <v/>
      </c>
      <c r="F64" s="293"/>
      <c r="G64" s="292" t="s">
        <v>184</v>
      </c>
      <c r="H64" s="275"/>
      <c r="I64" s="79" t="str">
        <f>IFERROR(IF(M6="","",VLOOKUP(G66,calc!B3:R12,17,FALSE)),"")</f>
        <v/>
      </c>
      <c r="J64" s="191"/>
      <c r="K64" s="310" t="s">
        <v>185</v>
      </c>
      <c r="L64" s="311"/>
      <c r="M64" s="311"/>
      <c r="N64" s="312"/>
      <c r="O64" s="319" t="s">
        <v>186</v>
      </c>
      <c r="P64" s="320"/>
      <c r="Q64" s="320"/>
      <c r="R64" s="321"/>
      <c r="S64" s="156"/>
      <c r="V64" s="156"/>
      <c r="W64" s="257"/>
      <c r="X64" s="257"/>
      <c r="Y64" s="257"/>
      <c r="Z64" s="257"/>
      <c r="AA64" s="257"/>
      <c r="AB64" s="257"/>
      <c r="AC64" s="257"/>
      <c r="AD64" s="257"/>
      <c r="AE64" s="257"/>
      <c r="AF64" s="257"/>
      <c r="AG64" s="257"/>
      <c r="AH64" s="257"/>
      <c r="AI64" s="257"/>
      <c r="AJ64" s="257"/>
      <c r="AK64" s="257"/>
      <c r="AL64" s="257"/>
      <c r="AM64" s="257"/>
      <c r="AN64" s="257"/>
      <c r="AO64" s="257"/>
      <c r="AP64" s="257"/>
      <c r="AQ64" s="257"/>
      <c r="AR64" s="257"/>
      <c r="AS64" s="257"/>
      <c r="AT64" s="257"/>
      <c r="AU64" s="257"/>
      <c r="AV64" s="257"/>
      <c r="AW64" s="257"/>
      <c r="AX64" s="257"/>
    </row>
    <row r="65" spans="2:50" s="192" customFormat="1" ht="22.5" customHeight="1" x14ac:dyDescent="0.35">
      <c r="B65" s="292" t="str">
        <f>"GSP Purchase Saving amount in "&amp;D28&amp;":"</f>
        <v>GSP Purchase Saving amount in :</v>
      </c>
      <c r="C65" s="292"/>
      <c r="D65" s="292"/>
      <c r="E65" s="302" t="str">
        <f>IFERROR(IF(M7="","",VLOOKUP(G66,calc!B3:R12,12,FALSE)),"")</f>
        <v/>
      </c>
      <c r="F65" s="303"/>
      <c r="G65" s="292" t="str">
        <f>"RAS Saving amount in "&amp;D28&amp;":"</f>
        <v>RAS Saving amount in :</v>
      </c>
      <c r="H65" s="275"/>
      <c r="I65" s="78" t="str">
        <f>IFERROR(IF(M6="","",VLOOKUP(G66,calc!B3:R12,16,FALSE)),"")</f>
        <v/>
      </c>
      <c r="J65" s="191"/>
      <c r="K65" s="313"/>
      <c r="L65" s="314"/>
      <c r="M65" s="314"/>
      <c r="N65" s="315"/>
      <c r="O65" s="322"/>
      <c r="P65" s="323"/>
      <c r="Q65" s="323"/>
      <c r="R65" s="324"/>
      <c r="S65" s="156"/>
      <c r="V65" s="156"/>
      <c r="W65" s="258"/>
      <c r="X65" s="258"/>
      <c r="Y65" s="258"/>
      <c r="Z65" s="258"/>
      <c r="AA65" s="258"/>
      <c r="AB65" s="258"/>
      <c r="AC65" s="258"/>
      <c r="AD65" s="258"/>
      <c r="AE65" s="258"/>
      <c r="AF65" s="258"/>
      <c r="AG65" s="258"/>
      <c r="AH65" s="258"/>
      <c r="AI65" s="258"/>
      <c r="AJ65" s="258"/>
      <c r="AK65" s="258"/>
      <c r="AL65" s="258"/>
      <c r="AM65" s="258"/>
      <c r="AN65" s="258"/>
      <c r="AO65" s="258"/>
      <c r="AP65" s="258"/>
      <c r="AQ65" s="258"/>
      <c r="AR65" s="258"/>
      <c r="AS65" s="258"/>
      <c r="AT65" s="258"/>
      <c r="AU65" s="300"/>
      <c r="AV65" s="300"/>
      <c r="AW65" s="300"/>
      <c r="AX65" s="300"/>
    </row>
    <row r="66" spans="2:50" s="192" customFormat="1" ht="26.25" customHeight="1" x14ac:dyDescent="0.35">
      <c r="B66" s="267" t="s">
        <v>187</v>
      </c>
      <c r="C66" s="268"/>
      <c r="D66" s="268"/>
      <c r="E66" s="279"/>
      <c r="F66" s="280"/>
      <c r="G66" s="306"/>
      <c r="H66" s="307"/>
      <c r="I66" s="304" t="str">
        <f>IF(G66="","&lt;-- select supplier",IFERROR(VLOOKUP(G66,calc!$B$3:$J$12,4,FALSE),""))</f>
        <v>&lt;-- select supplier</v>
      </c>
      <c r="J66" s="305"/>
      <c r="K66" s="308"/>
      <c r="L66" s="309"/>
      <c r="M66" s="309"/>
      <c r="N66" s="309"/>
      <c r="O66" s="316"/>
      <c r="P66" s="317"/>
      <c r="Q66" s="317"/>
      <c r="R66" s="318"/>
      <c r="S66" s="156"/>
      <c r="V66" s="156"/>
      <c r="W66" s="294"/>
      <c r="X66" s="294"/>
      <c r="Y66" s="294"/>
      <c r="Z66" s="294"/>
      <c r="AA66" s="294"/>
      <c r="AB66" s="294"/>
      <c r="AC66" s="294"/>
      <c r="AD66" s="294"/>
      <c r="AE66" s="294"/>
      <c r="AF66" s="294"/>
      <c r="AG66" s="294"/>
      <c r="AH66" s="294"/>
      <c r="AI66" s="294"/>
      <c r="AJ66" s="294"/>
      <c r="AK66" s="294"/>
      <c r="AL66" s="294"/>
      <c r="AM66" s="294"/>
      <c r="AN66" s="294"/>
      <c r="AO66" s="294"/>
      <c r="AP66" s="294"/>
      <c r="AQ66" s="294"/>
      <c r="AR66" s="294"/>
      <c r="AS66" s="294"/>
      <c r="AT66" s="294"/>
      <c r="AU66" s="301"/>
      <c r="AV66" s="301"/>
      <c r="AW66" s="301"/>
      <c r="AX66" s="301"/>
    </row>
    <row r="67" spans="2:50" s="192" customFormat="1" ht="17.25" customHeight="1" x14ac:dyDescent="0.35">
      <c r="B67" s="272" t="s">
        <v>188</v>
      </c>
      <c r="C67" s="273"/>
      <c r="D67" s="273"/>
      <c r="E67" s="273"/>
      <c r="F67" s="274"/>
      <c r="G67" s="228" t="str">
        <f>IFERROR(VLOOKUP(G66,calc!$B$3:$J$12,2,FALSE),"")</f>
        <v/>
      </c>
      <c r="H67" s="228"/>
      <c r="I67" s="229" t="str">
        <f>IFERROR(VLOOKUP(G66,calc!$B$3:$J$12,3,FALSE),"")</f>
        <v/>
      </c>
      <c r="J67" s="229"/>
      <c r="K67" s="283"/>
      <c r="L67" s="284"/>
      <c r="M67" s="284"/>
      <c r="N67" s="285"/>
      <c r="O67" s="283"/>
      <c r="P67" s="284"/>
      <c r="Q67" s="284"/>
      <c r="R67" s="285"/>
      <c r="S67" s="193"/>
      <c r="V67" s="193"/>
      <c r="W67" s="230"/>
      <c r="X67" s="230"/>
      <c r="Y67" s="230"/>
      <c r="Z67" s="230"/>
      <c r="AA67" s="230"/>
      <c r="AB67" s="230"/>
      <c r="AC67" s="230"/>
      <c r="AD67" s="230"/>
      <c r="AE67" s="230"/>
      <c r="AF67" s="230"/>
      <c r="AG67" s="230"/>
      <c r="AH67" s="230"/>
      <c r="AI67" s="230"/>
      <c r="AJ67" s="230"/>
      <c r="AK67" s="230"/>
      <c r="AL67" s="230"/>
      <c r="AM67" s="230"/>
      <c r="AN67" s="230"/>
      <c r="AO67" s="230"/>
      <c r="AP67" s="230"/>
      <c r="AQ67" s="230"/>
      <c r="AR67" s="230"/>
      <c r="AS67" s="230"/>
      <c r="AT67" s="230"/>
      <c r="AU67" s="259"/>
      <c r="AV67" s="259"/>
      <c r="AW67" s="259"/>
      <c r="AX67" s="259"/>
    </row>
    <row r="68" spans="2:50" s="192" customFormat="1" ht="17.25" customHeight="1" x14ac:dyDescent="0.35">
      <c r="B68" s="275"/>
      <c r="C68" s="276"/>
      <c r="D68" s="276"/>
      <c r="E68" s="276"/>
      <c r="F68" s="277"/>
      <c r="G68" s="270" t="str">
        <f>IFERROR(IF($D$28="","",$D$28),"")</f>
        <v/>
      </c>
      <c r="H68" s="271"/>
      <c r="I68" s="281" t="str">
        <f>IFERROR(VLOOKUP(G66,calc!$B$3:$Y$12,24,FALSE),"")</f>
        <v/>
      </c>
      <c r="J68" s="282"/>
      <c r="K68" s="286"/>
      <c r="L68" s="287"/>
      <c r="M68" s="287"/>
      <c r="N68" s="288"/>
      <c r="O68" s="286"/>
      <c r="P68" s="287"/>
      <c r="Q68" s="287"/>
      <c r="R68" s="288"/>
      <c r="S68" s="193"/>
      <c r="V68" s="193"/>
      <c r="W68" s="230"/>
      <c r="X68" s="230"/>
      <c r="Y68" s="230"/>
      <c r="Z68" s="230"/>
      <c r="AA68" s="230"/>
      <c r="AB68" s="230"/>
      <c r="AC68" s="230"/>
      <c r="AD68" s="230"/>
      <c r="AE68" s="230"/>
      <c r="AF68" s="230"/>
      <c r="AG68" s="230"/>
      <c r="AH68" s="230"/>
      <c r="AI68" s="230"/>
      <c r="AJ68" s="230"/>
      <c r="AK68" s="230"/>
      <c r="AL68" s="230"/>
      <c r="AM68" s="230"/>
      <c r="AN68" s="230"/>
      <c r="AO68" s="230"/>
      <c r="AP68" s="230"/>
      <c r="AQ68" s="230"/>
      <c r="AR68" s="230"/>
      <c r="AS68" s="230"/>
      <c r="AT68" s="230"/>
      <c r="AU68" s="259"/>
      <c r="AV68" s="259"/>
      <c r="AW68" s="259"/>
      <c r="AX68" s="259"/>
    </row>
    <row r="69" spans="2:50" s="192" customFormat="1" ht="17.25" customHeight="1" x14ac:dyDescent="0.35">
      <c r="B69" s="278" t="s">
        <v>189</v>
      </c>
      <c r="C69" s="279"/>
      <c r="D69" s="279"/>
      <c r="E69" s="279"/>
      <c r="F69" s="280"/>
      <c r="G69" s="270" t="str">
        <f>IFERROR(IF($D$28="","",$D$28),"")</f>
        <v/>
      </c>
      <c r="H69" s="271"/>
      <c r="I69" s="229" t="str">
        <f>IFERROR(VLOOKUP(G66,calc!$B$3:$Y$12,23,FALSE),"")</f>
        <v/>
      </c>
      <c r="J69" s="229"/>
      <c r="K69" s="289"/>
      <c r="L69" s="290"/>
      <c r="M69" s="290"/>
      <c r="N69" s="291"/>
      <c r="O69" s="289"/>
      <c r="P69" s="290"/>
      <c r="Q69" s="290"/>
      <c r="R69" s="291"/>
      <c r="S69" s="193"/>
      <c r="V69" s="193"/>
      <c r="W69" s="230"/>
      <c r="X69" s="230"/>
      <c r="Y69" s="230"/>
      <c r="Z69" s="230"/>
      <c r="AA69" s="230"/>
      <c r="AB69" s="230"/>
      <c r="AC69" s="230"/>
      <c r="AD69" s="230"/>
      <c r="AE69" s="230"/>
      <c r="AF69" s="230"/>
      <c r="AG69" s="230"/>
      <c r="AH69" s="230"/>
      <c r="AI69" s="230"/>
      <c r="AJ69" s="230"/>
      <c r="AK69" s="230"/>
      <c r="AL69" s="230"/>
      <c r="AM69" s="230"/>
      <c r="AN69" s="230"/>
      <c r="AO69" s="230"/>
      <c r="AP69" s="230"/>
      <c r="AQ69" s="230"/>
      <c r="AR69" s="230"/>
      <c r="AS69" s="230"/>
      <c r="AT69" s="230"/>
      <c r="AU69" s="259"/>
      <c r="AV69" s="259"/>
      <c r="AW69" s="259"/>
      <c r="AX69" s="259"/>
    </row>
    <row r="70" spans="2:50" s="192" customFormat="1" x14ac:dyDescent="0.35">
      <c r="B70" s="133"/>
      <c r="C70" s="133"/>
      <c r="D70" s="133"/>
      <c r="E70" s="133"/>
      <c r="F70" s="133"/>
      <c r="G70" s="133"/>
      <c r="H70" s="133"/>
      <c r="I70" s="133"/>
      <c r="J70" s="133"/>
      <c r="K70" s="195"/>
      <c r="L70" s="133"/>
      <c r="M70" s="133"/>
      <c r="N70" s="133"/>
      <c r="O70" s="195"/>
      <c r="P70" s="133"/>
      <c r="Q70" s="133"/>
      <c r="R70" s="133"/>
      <c r="S70" s="133"/>
      <c r="V70" s="133"/>
      <c r="W70" s="195"/>
      <c r="X70" s="133"/>
      <c r="Y70" s="133"/>
      <c r="Z70" s="133"/>
      <c r="AA70" s="195"/>
      <c r="AB70" s="133"/>
      <c r="AC70" s="133"/>
      <c r="AD70" s="133"/>
      <c r="AE70" s="195"/>
      <c r="AF70" s="133"/>
      <c r="AG70" s="133"/>
      <c r="AH70" s="133"/>
      <c r="AI70" s="195"/>
      <c r="AJ70" s="133"/>
      <c r="AK70" s="133"/>
      <c r="AL70" s="133"/>
      <c r="AM70" s="195"/>
      <c r="AN70" s="133"/>
      <c r="AO70" s="133"/>
      <c r="AP70" s="133"/>
      <c r="AQ70" s="195"/>
      <c r="AR70" s="133"/>
      <c r="AS70" s="133"/>
      <c r="AT70" s="133"/>
      <c r="AU70" s="133"/>
      <c r="AV70" s="133"/>
      <c r="AW70" s="133"/>
      <c r="AX70" s="133"/>
    </row>
    <row r="71" spans="2:50" ht="22.5" customHeight="1" x14ac:dyDescent="0.35">
      <c r="B71" s="261" t="s">
        <v>190</v>
      </c>
      <c r="C71" s="262"/>
      <c r="D71" s="262"/>
      <c r="E71" s="262"/>
      <c r="F71" s="196" t="s">
        <v>191</v>
      </c>
      <c r="G71" s="224"/>
      <c r="H71" s="225"/>
      <c r="I71" s="225"/>
      <c r="J71" s="225"/>
      <c r="K71" s="225"/>
      <c r="L71" s="225"/>
      <c r="M71" s="225"/>
      <c r="N71" s="225"/>
      <c r="O71" s="225"/>
      <c r="P71" s="225"/>
      <c r="Q71" s="225"/>
      <c r="R71" s="225"/>
      <c r="S71" s="197"/>
      <c r="V71" s="197"/>
      <c r="W71" s="226"/>
      <c r="X71" s="226"/>
      <c r="Y71" s="226"/>
      <c r="Z71" s="226"/>
      <c r="AA71" s="226"/>
      <c r="AB71" s="226"/>
      <c r="AC71" s="226"/>
      <c r="AD71" s="226"/>
      <c r="AE71" s="226"/>
      <c r="AF71" s="226"/>
      <c r="AG71" s="226"/>
      <c r="AH71" s="226"/>
      <c r="AI71" s="226"/>
      <c r="AJ71" s="226"/>
      <c r="AK71" s="226"/>
      <c r="AL71" s="226"/>
      <c r="AM71" s="226"/>
      <c r="AN71" s="226"/>
      <c r="AO71" s="226"/>
      <c r="AP71" s="226"/>
      <c r="AQ71" s="226"/>
      <c r="AR71" s="226"/>
      <c r="AS71" s="226"/>
      <c r="AT71" s="226"/>
      <c r="AU71" s="226"/>
      <c r="AV71" s="226"/>
      <c r="AW71" s="226"/>
      <c r="AX71" s="226"/>
    </row>
    <row r="72" spans="2:50" ht="22.5" customHeight="1" x14ac:dyDescent="0.35">
      <c r="B72" s="263"/>
      <c r="C72" s="264"/>
      <c r="D72" s="264"/>
      <c r="E72" s="264"/>
      <c r="F72" s="198" t="s">
        <v>192</v>
      </c>
      <c r="G72" s="224"/>
      <c r="H72" s="225"/>
      <c r="I72" s="225"/>
      <c r="J72" s="225"/>
      <c r="K72" s="225"/>
      <c r="L72" s="225"/>
      <c r="M72" s="225"/>
      <c r="N72" s="225"/>
      <c r="O72" s="225"/>
      <c r="P72" s="225"/>
      <c r="Q72" s="225"/>
      <c r="R72" s="225"/>
      <c r="S72" s="197"/>
      <c r="V72" s="197"/>
      <c r="W72" s="226"/>
      <c r="X72" s="226"/>
      <c r="Y72" s="226"/>
      <c r="Z72" s="226"/>
      <c r="AA72" s="226"/>
      <c r="AB72" s="226"/>
      <c r="AC72" s="226"/>
      <c r="AD72" s="226"/>
      <c r="AE72" s="226"/>
      <c r="AF72" s="226"/>
      <c r="AG72" s="226"/>
      <c r="AH72" s="226"/>
      <c r="AI72" s="226"/>
      <c r="AJ72" s="226"/>
      <c r="AK72" s="226"/>
      <c r="AL72" s="226"/>
      <c r="AM72" s="226"/>
      <c r="AN72" s="226"/>
      <c r="AO72" s="226"/>
      <c r="AP72" s="226"/>
      <c r="AQ72" s="226"/>
      <c r="AR72" s="226"/>
      <c r="AS72" s="226"/>
      <c r="AT72" s="226"/>
      <c r="AU72" s="226"/>
      <c r="AV72" s="226"/>
      <c r="AW72" s="226"/>
      <c r="AX72" s="226"/>
    </row>
    <row r="73" spans="2:50" ht="22.5" customHeight="1" x14ac:dyDescent="0.35">
      <c r="B73" s="263"/>
      <c r="C73" s="264"/>
      <c r="D73" s="264"/>
      <c r="E73" s="264"/>
      <c r="F73" s="198" t="s">
        <v>193</v>
      </c>
      <c r="G73" s="357"/>
      <c r="H73" s="358"/>
      <c r="I73" s="358"/>
      <c r="J73" s="358"/>
      <c r="K73" s="358"/>
      <c r="L73" s="358"/>
      <c r="M73" s="358"/>
      <c r="N73" s="358"/>
      <c r="O73" s="358"/>
      <c r="P73" s="358"/>
      <c r="Q73" s="358"/>
      <c r="R73" s="358"/>
      <c r="S73" s="197"/>
      <c r="V73" s="197"/>
      <c r="W73" s="197"/>
      <c r="X73" s="197"/>
      <c r="Y73" s="197"/>
      <c r="Z73" s="197"/>
      <c r="AA73" s="197"/>
      <c r="AB73" s="197"/>
      <c r="AC73" s="197"/>
      <c r="AD73" s="197"/>
      <c r="AE73" s="197"/>
      <c r="AF73" s="197"/>
      <c r="AG73" s="197"/>
      <c r="AH73" s="197"/>
      <c r="AI73" s="197"/>
      <c r="AJ73" s="197"/>
      <c r="AK73" s="197"/>
      <c r="AL73" s="197"/>
      <c r="AM73" s="197"/>
      <c r="AN73" s="197"/>
      <c r="AO73" s="197"/>
      <c r="AP73" s="197"/>
      <c r="AQ73" s="197"/>
      <c r="AR73" s="197"/>
      <c r="AS73" s="197"/>
      <c r="AT73" s="197"/>
      <c r="AU73" s="197"/>
      <c r="AV73" s="197"/>
      <c r="AW73" s="197"/>
      <c r="AX73" s="197"/>
    </row>
    <row r="74" spans="2:50" ht="61.5" customHeight="1" x14ac:dyDescent="0.35">
      <c r="B74" s="265"/>
      <c r="C74" s="266"/>
      <c r="D74" s="266"/>
      <c r="E74" s="266"/>
      <c r="F74" s="194" t="s">
        <v>194</v>
      </c>
      <c r="G74" s="224"/>
      <c r="H74" s="225"/>
      <c r="I74" s="225"/>
      <c r="J74" s="225"/>
      <c r="K74" s="225"/>
      <c r="L74" s="225"/>
      <c r="M74" s="225"/>
      <c r="N74" s="225"/>
      <c r="O74" s="225"/>
      <c r="P74" s="225"/>
      <c r="Q74" s="225"/>
      <c r="R74" s="225"/>
      <c r="S74" s="197"/>
      <c r="V74" s="197"/>
      <c r="W74" s="226"/>
      <c r="X74" s="226"/>
      <c r="Y74" s="226"/>
      <c r="Z74" s="226"/>
      <c r="AA74" s="226"/>
      <c r="AB74" s="226"/>
      <c r="AC74" s="226"/>
      <c r="AD74" s="226"/>
      <c r="AE74" s="226"/>
      <c r="AF74" s="226"/>
      <c r="AG74" s="226"/>
      <c r="AH74" s="226"/>
      <c r="AI74" s="226"/>
      <c r="AJ74" s="226"/>
      <c r="AK74" s="226"/>
      <c r="AL74" s="226"/>
      <c r="AM74" s="226"/>
      <c r="AN74" s="226"/>
      <c r="AO74" s="226"/>
      <c r="AP74" s="226"/>
      <c r="AQ74" s="226"/>
      <c r="AR74" s="226"/>
      <c r="AS74" s="226"/>
      <c r="AT74" s="226"/>
      <c r="AU74" s="226"/>
      <c r="AV74" s="226"/>
      <c r="AW74" s="226"/>
      <c r="AX74" s="226"/>
    </row>
  </sheetData>
  <sheetProtection algorithmName="SHA-512" hashValue="S1tWq2+h90rxPCj+y0NXTgAPC0/ZKD95+LacpGbZ56hpU8uTAZPL32jTLCvRVo5489+Jk4ignQCmBatbPsVFVw==" saltValue="LmNMi/70EfEpWCHmdS2zIg==" spinCount="100000" sheet="1" objects="1" scenarios="1" formatColumns="0" formatRows="0" insertRows="0" deleteRows="0" selectLockedCells="1"/>
  <mergeCells count="818">
    <mergeCell ref="B2:C2"/>
    <mergeCell ref="G2:R2"/>
    <mergeCell ref="B25:F25"/>
    <mergeCell ref="T21:U21"/>
    <mergeCell ref="G46:J46"/>
    <mergeCell ref="G45:J45"/>
    <mergeCell ref="G16:J16"/>
    <mergeCell ref="Y19:Z19"/>
    <mergeCell ref="AA44:AD44"/>
    <mergeCell ref="AA27:AD27"/>
    <mergeCell ref="O44:R44"/>
    <mergeCell ref="W28:X28"/>
    <mergeCell ref="W27:Z27"/>
    <mergeCell ref="Y28:Z28"/>
    <mergeCell ref="Q28:R28"/>
    <mergeCell ref="B14:F14"/>
    <mergeCell ref="T22:U22"/>
    <mergeCell ref="W23:Z23"/>
    <mergeCell ref="AA24:AD24"/>
    <mergeCell ref="W24:Z24"/>
    <mergeCell ref="O25:R25"/>
    <mergeCell ref="AA23:AD23"/>
    <mergeCell ref="AA28:AB28"/>
    <mergeCell ref="AC28:AD28"/>
    <mergeCell ref="AI57:AJ57"/>
    <mergeCell ref="AA58:AB58"/>
    <mergeCell ref="AC58:AD58"/>
    <mergeCell ref="AA57:AB57"/>
    <mergeCell ref="AC57:AD57"/>
    <mergeCell ref="G73:H73"/>
    <mergeCell ref="I73:J73"/>
    <mergeCell ref="K73:L73"/>
    <mergeCell ref="M73:N73"/>
    <mergeCell ref="O73:P73"/>
    <mergeCell ref="Q73:R73"/>
    <mergeCell ref="I71:J71"/>
    <mergeCell ref="K71:L71"/>
    <mergeCell ref="M71:N71"/>
    <mergeCell ref="O72:P72"/>
    <mergeCell ref="Q72:R72"/>
    <mergeCell ref="O71:P71"/>
    <mergeCell ref="Q71:R71"/>
    <mergeCell ref="G71:H71"/>
    <mergeCell ref="AE60:AH60"/>
    <mergeCell ref="AI60:AL60"/>
    <mergeCell ref="O59:P59"/>
    <mergeCell ref="AK57:AL57"/>
    <mergeCell ref="AE58:AF58"/>
    <mergeCell ref="Y55:Z55"/>
    <mergeCell ref="M51:N51"/>
    <mergeCell ref="AC52:AD52"/>
    <mergeCell ref="I53:J53"/>
    <mergeCell ref="M57:N57"/>
    <mergeCell ref="O57:P57"/>
    <mergeCell ref="Q57:R57"/>
    <mergeCell ref="T56:U56"/>
    <mergeCell ref="W57:X57"/>
    <mergeCell ref="T57:U57"/>
    <mergeCell ref="I57:J57"/>
    <mergeCell ref="W55:X55"/>
    <mergeCell ref="T55:U55"/>
    <mergeCell ref="T53:U53"/>
    <mergeCell ref="T54:U54"/>
    <mergeCell ref="K53:L53"/>
    <mergeCell ref="M53:N53"/>
    <mergeCell ref="W54:X54"/>
    <mergeCell ref="AC54:AD54"/>
    <mergeCell ref="K50:L50"/>
    <mergeCell ref="AG58:AH58"/>
    <mergeCell ref="AI58:AJ58"/>
    <mergeCell ref="AK58:AL58"/>
    <mergeCell ref="AE57:AF57"/>
    <mergeCell ref="AG57:AH57"/>
    <mergeCell ref="AI24:AL24"/>
    <mergeCell ref="AM24:AP24"/>
    <mergeCell ref="O45:R45"/>
    <mergeCell ref="O46:R46"/>
    <mergeCell ref="O47:Q49"/>
    <mergeCell ref="AK56:AL56"/>
    <mergeCell ref="AA55:AB55"/>
    <mergeCell ref="AC55:AD55"/>
    <mergeCell ref="AC56:AD56"/>
    <mergeCell ref="AE55:AF55"/>
    <mergeCell ref="AG55:AH55"/>
    <mergeCell ref="AI55:AJ55"/>
    <mergeCell ref="AK55:AL55"/>
    <mergeCell ref="AE54:AF54"/>
    <mergeCell ref="AG54:AH54"/>
    <mergeCell ref="AI54:AJ54"/>
    <mergeCell ref="AK54:AL54"/>
    <mergeCell ref="Y54:Z54"/>
    <mergeCell ref="AE50:AF50"/>
    <mergeCell ref="AG50:AH50"/>
    <mergeCell ref="AI50:AJ50"/>
    <mergeCell ref="AK50:AL50"/>
    <mergeCell ref="AE47:AG49"/>
    <mergeCell ref="AA45:AD45"/>
    <mergeCell ref="AO28:AP28"/>
    <mergeCell ref="AM44:AP44"/>
    <mergeCell ref="AI28:AJ28"/>
    <mergeCell ref="AK28:AL28"/>
    <mergeCell ref="AE44:AH44"/>
    <mergeCell ref="AI44:AL44"/>
    <mergeCell ref="AE45:AH45"/>
    <mergeCell ref="AI45:AL45"/>
    <mergeCell ref="AM28:AN28"/>
    <mergeCell ref="AQ44:AT44"/>
    <mergeCell ref="AU24:AX24"/>
    <mergeCell ref="T24:U24"/>
    <mergeCell ref="AU25:AX25"/>
    <mergeCell ref="T25:U25"/>
    <mergeCell ref="G26:J26"/>
    <mergeCell ref="K26:N26"/>
    <mergeCell ref="O26:R26"/>
    <mergeCell ref="W26:Z26"/>
    <mergeCell ref="AA26:AD26"/>
    <mergeCell ref="AE26:AH26"/>
    <mergeCell ref="AI26:AL26"/>
    <mergeCell ref="AM26:AP26"/>
    <mergeCell ref="AQ26:AT26"/>
    <mergeCell ref="AU26:AX26"/>
    <mergeCell ref="AA25:AD25"/>
    <mergeCell ref="AE25:AH25"/>
    <mergeCell ref="AI25:AL25"/>
    <mergeCell ref="AM25:AP25"/>
    <mergeCell ref="AQ25:AT25"/>
    <mergeCell ref="W25:Z25"/>
    <mergeCell ref="AE24:AH24"/>
    <mergeCell ref="AE28:AF28"/>
    <mergeCell ref="AG28:AH28"/>
    <mergeCell ref="AS4:AT4"/>
    <mergeCell ref="AA12:AD12"/>
    <mergeCell ref="AM8:AN8"/>
    <mergeCell ref="AO8:AP8"/>
    <mergeCell ref="AM12:AP12"/>
    <mergeCell ref="AQ15:AT15"/>
    <mergeCell ref="AE12:AH12"/>
    <mergeCell ref="AI12:AL12"/>
    <mergeCell ref="AE13:AH13"/>
    <mergeCell ref="AI13:AL13"/>
    <mergeCell ref="AE14:AH14"/>
    <mergeCell ref="AI14:AL14"/>
    <mergeCell ref="AE15:AH15"/>
    <mergeCell ref="AI15:AL15"/>
    <mergeCell ref="AQ12:AT12"/>
    <mergeCell ref="AM13:AP13"/>
    <mergeCell ref="AQ13:AT13"/>
    <mergeCell ref="AA15:AD15"/>
    <mergeCell ref="AG8:AH8"/>
    <mergeCell ref="AI8:AJ8"/>
    <mergeCell ref="AA14:AD14"/>
    <mergeCell ref="AA13:AD13"/>
    <mergeCell ref="AC4:AD4"/>
    <mergeCell ref="AO5:AP5"/>
    <mergeCell ref="AK8:AL8"/>
    <mergeCell ref="AE10:AH10"/>
    <mergeCell ref="AI10:AL10"/>
    <mergeCell ref="AE11:AH11"/>
    <mergeCell ref="AI11:AL11"/>
    <mergeCell ref="AE5:AF5"/>
    <mergeCell ref="AG5:AH5"/>
    <mergeCell ref="AI5:AJ5"/>
    <mergeCell ref="AK5:AL5"/>
    <mergeCell ref="W18:Z18"/>
    <mergeCell ref="W19:X19"/>
    <mergeCell ref="AM27:AP27"/>
    <mergeCell ref="M50:N50"/>
    <mergeCell ref="M52:N52"/>
    <mergeCell ref="AA50:AB50"/>
    <mergeCell ref="AU51:AV51"/>
    <mergeCell ref="AW51:AX51"/>
    <mergeCell ref="W45:Z45"/>
    <mergeCell ref="W46:Z46"/>
    <mergeCell ref="W47:Y49"/>
    <mergeCell ref="W50:X50"/>
    <mergeCell ref="Y50:Z50"/>
    <mergeCell ref="W51:X51"/>
    <mergeCell ref="AA46:AD46"/>
    <mergeCell ref="AA51:AB51"/>
    <mergeCell ref="AQ46:AT46"/>
    <mergeCell ref="AA47:AC49"/>
    <mergeCell ref="AM47:AO49"/>
    <mergeCell ref="AQ47:AS49"/>
    <mergeCell ref="AU50:AV50"/>
    <mergeCell ref="AQ51:AR51"/>
    <mergeCell ref="AO50:AP50"/>
    <mergeCell ref="AM46:AP46"/>
    <mergeCell ref="AU45:AX45"/>
    <mergeCell ref="AE46:AH46"/>
    <mergeCell ref="AI46:AL46"/>
    <mergeCell ref="AI47:AK49"/>
    <mergeCell ref="G52:H52"/>
    <mergeCell ref="I52:J52"/>
    <mergeCell ref="K51:L51"/>
    <mergeCell ref="AW52:AX52"/>
    <mergeCell ref="O51:P51"/>
    <mergeCell ref="Q51:R51"/>
    <mergeCell ref="Y51:Z51"/>
    <mergeCell ref="W52:X52"/>
    <mergeCell ref="Y52:Z52"/>
    <mergeCell ref="T50:U50"/>
    <mergeCell ref="T51:U51"/>
    <mergeCell ref="T52:U52"/>
    <mergeCell ref="O50:P50"/>
    <mergeCell ref="Q50:R50"/>
    <mergeCell ref="AQ50:AR50"/>
    <mergeCell ref="AA52:AB52"/>
    <mergeCell ref="AQ45:AT45"/>
    <mergeCell ref="I50:J50"/>
    <mergeCell ref="K52:L52"/>
    <mergeCell ref="K46:N46"/>
    <mergeCell ref="AC51:AD51"/>
    <mergeCell ref="AK53:AL53"/>
    <mergeCell ref="AM53:AN53"/>
    <mergeCell ref="AQ53:AR53"/>
    <mergeCell ref="AS53:AT53"/>
    <mergeCell ref="W53:X53"/>
    <mergeCell ref="Y53:Z53"/>
    <mergeCell ref="AC53:AD53"/>
    <mergeCell ref="AA53:AB53"/>
    <mergeCell ref="AI53:AJ53"/>
    <mergeCell ref="AE53:AF53"/>
    <mergeCell ref="AG53:AH53"/>
    <mergeCell ref="AO53:AP53"/>
    <mergeCell ref="T59:U59"/>
    <mergeCell ref="T61:U61"/>
    <mergeCell ref="T60:U60"/>
    <mergeCell ref="AA60:AD60"/>
    <mergeCell ref="G55:H55"/>
    <mergeCell ref="O54:P54"/>
    <mergeCell ref="Q54:R54"/>
    <mergeCell ref="I54:J54"/>
    <mergeCell ref="K54:L54"/>
    <mergeCell ref="M54:N54"/>
    <mergeCell ref="G58:H58"/>
    <mergeCell ref="Q59:R59"/>
    <mergeCell ref="O60:R60"/>
    <mergeCell ref="G56:H56"/>
    <mergeCell ref="O58:P58"/>
    <mergeCell ref="Q58:R58"/>
    <mergeCell ref="W58:X58"/>
    <mergeCell ref="Y58:Z58"/>
    <mergeCell ref="T58:U58"/>
    <mergeCell ref="G57:H57"/>
    <mergeCell ref="M56:N56"/>
    <mergeCell ref="M55:N55"/>
    <mergeCell ref="O56:P56"/>
    <mergeCell ref="Q56:R56"/>
    <mergeCell ref="AU62:AV62"/>
    <mergeCell ref="AW62:AX62"/>
    <mergeCell ref="G59:H59"/>
    <mergeCell ref="I59:J59"/>
    <mergeCell ref="K59:L59"/>
    <mergeCell ref="M59:N59"/>
    <mergeCell ref="AU59:AV59"/>
    <mergeCell ref="AW59:AX59"/>
    <mergeCell ref="G62:H62"/>
    <mergeCell ref="I62:J62"/>
    <mergeCell ref="K62:L62"/>
    <mergeCell ref="AA62:AB62"/>
    <mergeCell ref="O61:R61"/>
    <mergeCell ref="AA61:AD61"/>
    <mergeCell ref="AA59:AB59"/>
    <mergeCell ref="AC59:AD59"/>
    <mergeCell ref="W59:X59"/>
    <mergeCell ref="Y59:Z59"/>
    <mergeCell ref="W60:Z60"/>
    <mergeCell ref="W61:Z61"/>
    <mergeCell ref="AM59:AN59"/>
    <mergeCell ref="AO59:AP59"/>
    <mergeCell ref="AQ59:AR59"/>
    <mergeCell ref="AS59:AT59"/>
    <mergeCell ref="AM60:AP60"/>
    <mergeCell ref="AQ60:AT60"/>
    <mergeCell ref="AS58:AT58"/>
    <mergeCell ref="AU55:AV55"/>
    <mergeCell ref="I58:J58"/>
    <mergeCell ref="AE56:AF56"/>
    <mergeCell ref="AU58:AV58"/>
    <mergeCell ref="K58:L58"/>
    <mergeCell ref="M58:N58"/>
    <mergeCell ref="K57:L57"/>
    <mergeCell ref="AU56:AV56"/>
    <mergeCell ref="AQ56:AR56"/>
    <mergeCell ref="AS56:AT56"/>
    <mergeCell ref="AU57:AV57"/>
    <mergeCell ref="Q55:R55"/>
    <mergeCell ref="I56:J56"/>
    <mergeCell ref="K56:L56"/>
    <mergeCell ref="I55:J55"/>
    <mergeCell ref="K55:L55"/>
    <mergeCell ref="AA56:AB56"/>
    <mergeCell ref="W56:X56"/>
    <mergeCell ref="Y56:Z56"/>
    <mergeCell ref="AG56:AH56"/>
    <mergeCell ref="AI56:AJ56"/>
    <mergeCell ref="AQ54:AR54"/>
    <mergeCell ref="AO57:AP57"/>
    <mergeCell ref="AQ57:AR57"/>
    <mergeCell ref="AW57:AX57"/>
    <mergeCell ref="AO58:AP58"/>
    <mergeCell ref="AQ58:AR58"/>
    <mergeCell ref="AM57:AN57"/>
    <mergeCell ref="AM58:AN58"/>
    <mergeCell ref="AS57:AT57"/>
    <mergeCell ref="AQ55:AR55"/>
    <mergeCell ref="AS54:AT54"/>
    <mergeCell ref="AS55:AT55"/>
    <mergeCell ref="AW55:AX55"/>
    <mergeCell ref="AW58:AX58"/>
    <mergeCell ref="AW56:AX56"/>
    <mergeCell ref="AM55:AN55"/>
    <mergeCell ref="AO55:AP55"/>
    <mergeCell ref="AM56:AN56"/>
    <mergeCell ref="AO56:AP56"/>
    <mergeCell ref="AO54:AP54"/>
    <mergeCell ref="AW54:AX54"/>
    <mergeCell ref="AM54:AN54"/>
    <mergeCell ref="AU53:AV53"/>
    <mergeCell ref="G50:H50"/>
    <mergeCell ref="AW28:AX28"/>
    <mergeCell ref="G28:H28"/>
    <mergeCell ref="H47:I49"/>
    <mergeCell ref="K47:M49"/>
    <mergeCell ref="AU47:AW49"/>
    <mergeCell ref="G51:H51"/>
    <mergeCell ref="I51:J51"/>
    <mergeCell ref="AU44:AX44"/>
    <mergeCell ref="AU52:AV52"/>
    <mergeCell ref="W44:Z44"/>
    <mergeCell ref="AC50:AD50"/>
    <mergeCell ref="AE51:AF51"/>
    <mergeCell ref="AG51:AH51"/>
    <mergeCell ref="AM50:AN50"/>
    <mergeCell ref="AM52:AN52"/>
    <mergeCell ref="AM51:AN51"/>
    <mergeCell ref="G53:H53"/>
    <mergeCell ref="O53:P53"/>
    <mergeCell ref="Q53:R53"/>
    <mergeCell ref="O52:P52"/>
    <mergeCell ref="Q52:R52"/>
    <mergeCell ref="AS50:AT50"/>
    <mergeCell ref="G12:J12"/>
    <mergeCell ref="K12:N12"/>
    <mergeCell ref="O10:R10"/>
    <mergeCell ref="O11:R11"/>
    <mergeCell ref="O12:R12"/>
    <mergeCell ref="AW9:AX9"/>
    <mergeCell ref="AS9:AT9"/>
    <mergeCell ref="AU9:AV9"/>
    <mergeCell ref="AE9:AF9"/>
    <mergeCell ref="W10:Z10"/>
    <mergeCell ref="T10:U10"/>
    <mergeCell ref="K18:N18"/>
    <mergeCell ref="M19:N19"/>
    <mergeCell ref="B38:F38"/>
    <mergeCell ref="K44:N44"/>
    <mergeCell ref="AU46:AX46"/>
    <mergeCell ref="AW53:AX53"/>
    <mergeCell ref="Q19:R19"/>
    <mergeCell ref="O27:R27"/>
    <mergeCell ref="O23:R23"/>
    <mergeCell ref="G20:H20"/>
    <mergeCell ref="I20:J20"/>
    <mergeCell ref="AW19:AX19"/>
    <mergeCell ref="AW20:AX20"/>
    <mergeCell ref="G27:J27"/>
    <mergeCell ref="K27:N27"/>
    <mergeCell ref="AU27:AX27"/>
    <mergeCell ref="AW50:AX50"/>
    <mergeCell ref="AM20:AN20"/>
    <mergeCell ref="AS51:AT51"/>
    <mergeCell ref="AQ52:AR52"/>
    <mergeCell ref="AS52:AT52"/>
    <mergeCell ref="AI51:AJ51"/>
    <mergeCell ref="AK51:AL51"/>
    <mergeCell ref="AE52:AF52"/>
    <mergeCell ref="G22:J22"/>
    <mergeCell ref="K22:N22"/>
    <mergeCell ref="G25:J25"/>
    <mergeCell ref="K25:N25"/>
    <mergeCell ref="G24:J24"/>
    <mergeCell ref="K24:N24"/>
    <mergeCell ref="M28:N28"/>
    <mergeCell ref="G21:J21"/>
    <mergeCell ref="B40:F40"/>
    <mergeCell ref="G23:J23"/>
    <mergeCell ref="K23:N23"/>
    <mergeCell ref="T23:U23"/>
    <mergeCell ref="O22:R22"/>
    <mergeCell ref="W22:Z22"/>
    <mergeCell ref="B8:C8"/>
    <mergeCell ref="B9:C9"/>
    <mergeCell ref="D7:F7"/>
    <mergeCell ref="D8:F8"/>
    <mergeCell ref="D9:F9"/>
    <mergeCell ref="K28:L28"/>
    <mergeCell ref="B17:F17"/>
    <mergeCell ref="O28:P28"/>
    <mergeCell ref="T26:U26"/>
    <mergeCell ref="O13:R13"/>
    <mergeCell ref="B28:C28"/>
    <mergeCell ref="O15:R15"/>
    <mergeCell ref="O16:R16"/>
    <mergeCell ref="E28:F28"/>
    <mergeCell ref="O17:R17"/>
    <mergeCell ref="O18:R18"/>
    <mergeCell ref="O19:P19"/>
    <mergeCell ref="B27:F27"/>
    <mergeCell ref="B18:F18"/>
    <mergeCell ref="K19:L19"/>
    <mergeCell ref="B20:F20"/>
    <mergeCell ref="AO4:AP4"/>
    <mergeCell ref="G17:J17"/>
    <mergeCell ref="O24:R24"/>
    <mergeCell ref="B21:F21"/>
    <mergeCell ref="AE20:AF20"/>
    <mergeCell ref="AG20:AH20"/>
    <mergeCell ref="AI20:AJ20"/>
    <mergeCell ref="AK20:AL20"/>
    <mergeCell ref="AE21:AH21"/>
    <mergeCell ref="AA21:AD21"/>
    <mergeCell ref="K21:N21"/>
    <mergeCell ref="M20:N20"/>
    <mergeCell ref="Q20:R20"/>
    <mergeCell ref="O21:R21"/>
    <mergeCell ref="O20:P20"/>
    <mergeCell ref="Y20:Z20"/>
    <mergeCell ref="W20:X20"/>
    <mergeCell ref="AA20:AB20"/>
    <mergeCell ref="W21:Z21"/>
    <mergeCell ref="B22:F22"/>
    <mergeCell ref="B23:F23"/>
    <mergeCell ref="B24:F24"/>
    <mergeCell ref="M6:N6"/>
    <mergeCell ref="B7:C7"/>
    <mergeCell ref="AW4:AX4"/>
    <mergeCell ref="AW6:AX6"/>
    <mergeCell ref="AW7:AX7"/>
    <mergeCell ref="G4:H4"/>
    <mergeCell ref="I4:J4"/>
    <mergeCell ref="K4:L4"/>
    <mergeCell ref="AU4:AV4"/>
    <mergeCell ref="K6:L6"/>
    <mergeCell ref="O4:P4"/>
    <mergeCell ref="Q4:R4"/>
    <mergeCell ref="O5:P5"/>
    <mergeCell ref="O6:P6"/>
    <mergeCell ref="M7:N7"/>
    <mergeCell ref="O7:P7"/>
    <mergeCell ref="Q7:R7"/>
    <mergeCell ref="AC6:AD6"/>
    <mergeCell ref="AQ4:AR4"/>
    <mergeCell ref="AU7:AV7"/>
    <mergeCell ref="AE4:AF4"/>
    <mergeCell ref="AG4:AH4"/>
    <mergeCell ref="AI4:AJ4"/>
    <mergeCell ref="AK4:AL4"/>
    <mergeCell ref="Q5:R5"/>
    <mergeCell ref="AM4:AN4"/>
    <mergeCell ref="AC5:AD5"/>
    <mergeCell ref="B59:F59"/>
    <mergeCell ref="B62:F62"/>
    <mergeCell ref="B57:F57"/>
    <mergeCell ref="B58:F58"/>
    <mergeCell ref="B54:F54"/>
    <mergeCell ref="B55:F55"/>
    <mergeCell ref="B52:F52"/>
    <mergeCell ref="B53:F53"/>
    <mergeCell ref="B39:F39"/>
    <mergeCell ref="B50:F50"/>
    <mergeCell ref="B56:F56"/>
    <mergeCell ref="B42:F42"/>
    <mergeCell ref="B51:F51"/>
    <mergeCell ref="B48:F48"/>
    <mergeCell ref="B49:C49"/>
    <mergeCell ref="E49:F49"/>
    <mergeCell ref="B47:C47"/>
    <mergeCell ref="E47:F47"/>
    <mergeCell ref="O14:R14"/>
    <mergeCell ref="I8:J8"/>
    <mergeCell ref="I28:J28"/>
    <mergeCell ref="K8:L8"/>
    <mergeCell ref="W17:Z17"/>
    <mergeCell ref="AQ7:AR7"/>
    <mergeCell ref="AS7:AT7"/>
    <mergeCell ref="AE6:AF6"/>
    <mergeCell ref="AG6:AH6"/>
    <mergeCell ref="AI6:AJ6"/>
    <mergeCell ref="AK6:AL6"/>
    <mergeCell ref="AE7:AF7"/>
    <mergeCell ref="AG7:AH7"/>
    <mergeCell ref="AI7:AJ7"/>
    <mergeCell ref="AK7:AL7"/>
    <mergeCell ref="AM6:AN6"/>
    <mergeCell ref="AO6:AP6"/>
    <mergeCell ref="AQ6:AR6"/>
    <mergeCell ref="AS6:AT6"/>
    <mergeCell ref="AC7:AD7"/>
    <mergeCell ref="AM7:AN7"/>
    <mergeCell ref="AO7:AP7"/>
    <mergeCell ref="AQ5:AR5"/>
    <mergeCell ref="AS5:AT5"/>
    <mergeCell ref="M5:N5"/>
    <mergeCell ref="AM5:AN5"/>
    <mergeCell ref="AU10:AX10"/>
    <mergeCell ref="AC9:AD9"/>
    <mergeCell ref="O8:P8"/>
    <mergeCell ref="Q8:R8"/>
    <mergeCell ref="AC8:AD8"/>
    <mergeCell ref="AQ8:AR8"/>
    <mergeCell ref="AS8:AT8"/>
    <mergeCell ref="AA10:AD10"/>
    <mergeCell ref="AM10:AP10"/>
    <mergeCell ref="AQ10:AT10"/>
    <mergeCell ref="AE8:AF8"/>
    <mergeCell ref="AG9:AH9"/>
    <mergeCell ref="AI9:AJ9"/>
    <mergeCell ref="AK9:AL9"/>
    <mergeCell ref="AM9:AN9"/>
    <mergeCell ref="AO9:AP9"/>
    <mergeCell ref="AQ9:AR9"/>
    <mergeCell ref="B61:F61"/>
    <mergeCell ref="G61:J61"/>
    <mergeCell ref="K61:N61"/>
    <mergeCell ref="AU61:AX61"/>
    <mergeCell ref="B44:F44"/>
    <mergeCell ref="B45:F45"/>
    <mergeCell ref="T27:U27"/>
    <mergeCell ref="T44:U44"/>
    <mergeCell ref="T45:U45"/>
    <mergeCell ref="T46:U46"/>
    <mergeCell ref="T47:T49"/>
    <mergeCell ref="AQ28:AR28"/>
    <mergeCell ref="AS28:AT28"/>
    <mergeCell ref="AQ61:AT61"/>
    <mergeCell ref="B29:C29"/>
    <mergeCell ref="E46:F46"/>
    <mergeCell ref="B46:C46"/>
    <mergeCell ref="G44:J44"/>
    <mergeCell ref="B43:F43"/>
    <mergeCell ref="K45:N45"/>
    <mergeCell ref="AA54:AB54"/>
    <mergeCell ref="O55:P55"/>
    <mergeCell ref="G54:H54"/>
    <mergeCell ref="AU54:AV54"/>
    <mergeCell ref="B11:F11"/>
    <mergeCell ref="G11:J11"/>
    <mergeCell ref="K11:N11"/>
    <mergeCell ref="AU11:AX11"/>
    <mergeCell ref="B12:F12"/>
    <mergeCell ref="G19:H19"/>
    <mergeCell ref="I19:J19"/>
    <mergeCell ref="AW8:AX8"/>
    <mergeCell ref="AU19:AV19"/>
    <mergeCell ref="G13:J13"/>
    <mergeCell ref="W11:Z11"/>
    <mergeCell ref="W12:Z12"/>
    <mergeCell ref="W13:Z13"/>
    <mergeCell ref="W14:Z14"/>
    <mergeCell ref="W15:Z15"/>
    <mergeCell ref="W16:Z16"/>
    <mergeCell ref="AM14:AP14"/>
    <mergeCell ref="AA11:AD11"/>
    <mergeCell ref="AM11:AP11"/>
    <mergeCell ref="AQ11:AT11"/>
    <mergeCell ref="AA16:AD16"/>
    <mergeCell ref="K14:N14"/>
    <mergeCell ref="K16:N16"/>
    <mergeCell ref="AQ16:AT16"/>
    <mergeCell ref="K20:L20"/>
    <mergeCell ref="AU20:AV20"/>
    <mergeCell ref="B15:F15"/>
    <mergeCell ref="G15:J15"/>
    <mergeCell ref="K15:N15"/>
    <mergeCell ref="AU15:AX15"/>
    <mergeCell ref="B10:F10"/>
    <mergeCell ref="G10:J10"/>
    <mergeCell ref="K10:N10"/>
    <mergeCell ref="B19:F19"/>
    <mergeCell ref="K13:N13"/>
    <mergeCell ref="G18:J18"/>
    <mergeCell ref="T11:U11"/>
    <mergeCell ref="T12:U12"/>
    <mergeCell ref="T13:U13"/>
    <mergeCell ref="T14:U14"/>
    <mergeCell ref="T15:U15"/>
    <mergeCell ref="T16:U16"/>
    <mergeCell ref="T17:U17"/>
    <mergeCell ref="T18:U18"/>
    <mergeCell ref="AU12:AX12"/>
    <mergeCell ref="G14:J14"/>
    <mergeCell ref="B16:F16"/>
    <mergeCell ref="B13:F13"/>
    <mergeCell ref="AM15:AP15"/>
    <mergeCell ref="AE18:AH18"/>
    <mergeCell ref="AI18:AL18"/>
    <mergeCell ref="AU13:AX13"/>
    <mergeCell ref="AU14:AX14"/>
    <mergeCell ref="AU28:AV28"/>
    <mergeCell ref="AE19:AF19"/>
    <mergeCell ref="AG19:AH19"/>
    <mergeCell ref="AI19:AJ19"/>
    <mergeCell ref="AK19:AL19"/>
    <mergeCell ref="AQ20:AR20"/>
    <mergeCell ref="AS20:AT20"/>
    <mergeCell ref="AM21:AP21"/>
    <mergeCell ref="AQ21:AT21"/>
    <mergeCell ref="AQ14:AT14"/>
    <mergeCell ref="AQ17:AT17"/>
    <mergeCell ref="AE23:AH23"/>
    <mergeCell ref="AI23:AL23"/>
    <mergeCell ref="AM23:AP23"/>
    <mergeCell ref="AQ23:AT23"/>
    <mergeCell ref="AU23:AX23"/>
    <mergeCell ref="AQ22:AT22"/>
    <mergeCell ref="AO20:AP20"/>
    <mergeCell ref="AQ27:AT27"/>
    <mergeCell ref="AU21:AX21"/>
    <mergeCell ref="AC20:AD20"/>
    <mergeCell ref="AA22:AD22"/>
    <mergeCell ref="AE22:AH22"/>
    <mergeCell ref="AI22:AL22"/>
    <mergeCell ref="AM22:AP22"/>
    <mergeCell ref="AU16:AX16"/>
    <mergeCell ref="AC19:AD19"/>
    <mergeCell ref="AQ24:AT24"/>
    <mergeCell ref="AU22:AX22"/>
    <mergeCell ref="AU17:AX17"/>
    <mergeCell ref="AU18:AX18"/>
    <mergeCell ref="AM16:AP16"/>
    <mergeCell ref="AA17:AD17"/>
    <mergeCell ref="AA19:AB19"/>
    <mergeCell ref="AI17:AL17"/>
    <mergeCell ref="AM19:AN19"/>
    <mergeCell ref="AO19:AP19"/>
    <mergeCell ref="AQ19:AR19"/>
    <mergeCell ref="AS19:AT19"/>
    <mergeCell ref="AE17:AH17"/>
    <mergeCell ref="AQ18:AT18"/>
    <mergeCell ref="AM17:AP17"/>
    <mergeCell ref="AA18:AD18"/>
    <mergeCell ref="AU65:AX65"/>
    <mergeCell ref="AU66:AX66"/>
    <mergeCell ref="B66:F66"/>
    <mergeCell ref="B65:D65"/>
    <mergeCell ref="E65:F65"/>
    <mergeCell ref="G65:H65"/>
    <mergeCell ref="I66:J66"/>
    <mergeCell ref="G66:H66"/>
    <mergeCell ref="K66:N66"/>
    <mergeCell ref="W65:Z65"/>
    <mergeCell ref="W66:Z66"/>
    <mergeCell ref="K64:N65"/>
    <mergeCell ref="AM66:AP66"/>
    <mergeCell ref="O66:R66"/>
    <mergeCell ref="AA66:AD66"/>
    <mergeCell ref="AA64:AD64"/>
    <mergeCell ref="W64:Z64"/>
    <mergeCell ref="O64:R65"/>
    <mergeCell ref="AA65:AD65"/>
    <mergeCell ref="AQ66:AT66"/>
    <mergeCell ref="AU64:AX64"/>
    <mergeCell ref="Y72:Z72"/>
    <mergeCell ref="AA72:AB72"/>
    <mergeCell ref="AC72:AD72"/>
    <mergeCell ref="Y71:Z71"/>
    <mergeCell ref="AA74:AB74"/>
    <mergeCell ref="AC74:AD74"/>
    <mergeCell ref="AM18:AP18"/>
    <mergeCell ref="AE16:AH16"/>
    <mergeCell ref="AI16:AL16"/>
    <mergeCell ref="AM61:AP61"/>
    <mergeCell ref="AG52:AH52"/>
    <mergeCell ref="AI52:AJ52"/>
    <mergeCell ref="AK52:AL52"/>
    <mergeCell ref="AO52:AP52"/>
    <mergeCell ref="AO51:AP51"/>
    <mergeCell ref="Y57:Z57"/>
    <mergeCell ref="AE27:AH27"/>
    <mergeCell ref="AI27:AL27"/>
    <mergeCell ref="AI21:AL21"/>
    <mergeCell ref="AM45:AP45"/>
    <mergeCell ref="AE59:AF59"/>
    <mergeCell ref="AG59:AH59"/>
    <mergeCell ref="AI59:AJ59"/>
    <mergeCell ref="AK59:AL59"/>
    <mergeCell ref="AS74:AT74"/>
    <mergeCell ref="AM71:AN71"/>
    <mergeCell ref="AO71:AP71"/>
    <mergeCell ref="AQ71:AR71"/>
    <mergeCell ref="AS71:AT71"/>
    <mergeCell ref="AE61:AH61"/>
    <mergeCell ref="AI61:AL61"/>
    <mergeCell ref="AE65:AH65"/>
    <mergeCell ref="AI65:AL65"/>
    <mergeCell ref="AE66:AH66"/>
    <mergeCell ref="AI66:AL66"/>
    <mergeCell ref="AQ72:AR72"/>
    <mergeCell ref="AM74:AN74"/>
    <mergeCell ref="AO74:AP74"/>
    <mergeCell ref="AQ74:AR74"/>
    <mergeCell ref="AE67:AH69"/>
    <mergeCell ref="AM72:AN72"/>
    <mergeCell ref="AO72:AP72"/>
    <mergeCell ref="AE74:AF74"/>
    <mergeCell ref="AG74:AH74"/>
    <mergeCell ref="AI74:AJ74"/>
    <mergeCell ref="AK74:AL74"/>
    <mergeCell ref="B63:F63"/>
    <mergeCell ref="B64:D64"/>
    <mergeCell ref="E64:F64"/>
    <mergeCell ref="G64:H64"/>
    <mergeCell ref="Q62:R62"/>
    <mergeCell ref="AE64:AH64"/>
    <mergeCell ref="AI64:AL64"/>
    <mergeCell ref="AE62:AF62"/>
    <mergeCell ref="AG62:AH62"/>
    <mergeCell ref="AI62:AJ62"/>
    <mergeCell ref="AK62:AL62"/>
    <mergeCell ref="W62:X62"/>
    <mergeCell ref="Y62:Z62"/>
    <mergeCell ref="T62:U62"/>
    <mergeCell ref="O62:P62"/>
    <mergeCell ref="AC62:AD62"/>
    <mergeCell ref="M62:N62"/>
    <mergeCell ref="G74:H74"/>
    <mergeCell ref="I74:J74"/>
    <mergeCell ref="G68:H68"/>
    <mergeCell ref="B67:F68"/>
    <mergeCell ref="B69:F69"/>
    <mergeCell ref="I68:J68"/>
    <mergeCell ref="K74:L74"/>
    <mergeCell ref="M74:N74"/>
    <mergeCell ref="AU74:AV74"/>
    <mergeCell ref="G69:H69"/>
    <mergeCell ref="I69:J69"/>
    <mergeCell ref="K67:N69"/>
    <mergeCell ref="W74:X74"/>
    <mergeCell ref="Y74:Z74"/>
    <mergeCell ref="O74:P74"/>
    <mergeCell ref="Q74:R74"/>
    <mergeCell ref="O67:R69"/>
    <mergeCell ref="AE71:AF71"/>
    <mergeCell ref="AG71:AH71"/>
    <mergeCell ref="AI71:AJ71"/>
    <mergeCell ref="M72:N72"/>
    <mergeCell ref="AK71:AL71"/>
    <mergeCell ref="AA67:AD69"/>
    <mergeCell ref="AI67:AL69"/>
    <mergeCell ref="B3:R3"/>
    <mergeCell ref="G63:R63"/>
    <mergeCell ref="K17:N17"/>
    <mergeCell ref="AU71:AV71"/>
    <mergeCell ref="AM64:AP64"/>
    <mergeCell ref="AQ64:AT64"/>
    <mergeCell ref="AM65:AP65"/>
    <mergeCell ref="AQ65:AT65"/>
    <mergeCell ref="AE72:AF72"/>
    <mergeCell ref="AG72:AH72"/>
    <mergeCell ref="AI72:AJ72"/>
    <mergeCell ref="AK72:AL72"/>
    <mergeCell ref="AS72:AT72"/>
    <mergeCell ref="AU67:AX69"/>
    <mergeCell ref="AW71:AX71"/>
    <mergeCell ref="B60:F60"/>
    <mergeCell ref="G60:J60"/>
    <mergeCell ref="K60:N60"/>
    <mergeCell ref="AU60:AX60"/>
    <mergeCell ref="W67:Z69"/>
    <mergeCell ref="W71:X71"/>
    <mergeCell ref="B71:E74"/>
    <mergeCell ref="AW74:AX74"/>
    <mergeCell ref="B26:F26"/>
    <mergeCell ref="B4:C5"/>
    <mergeCell ref="B6:C6"/>
    <mergeCell ref="D4:F5"/>
    <mergeCell ref="D6:F6"/>
    <mergeCell ref="T4:U7"/>
    <mergeCell ref="T8:U9"/>
    <mergeCell ref="G5:H5"/>
    <mergeCell ref="G6:H6"/>
    <mergeCell ref="I5:J5"/>
    <mergeCell ref="I6:J6"/>
    <mergeCell ref="Q6:R6"/>
    <mergeCell ref="M4:N4"/>
    <mergeCell ref="M8:N8"/>
    <mergeCell ref="I7:J7"/>
    <mergeCell ref="G9:H9"/>
    <mergeCell ref="I9:J9"/>
    <mergeCell ref="K9:L9"/>
    <mergeCell ref="M9:N9"/>
    <mergeCell ref="O9:P9"/>
    <mergeCell ref="Q9:R9"/>
    <mergeCell ref="AU5:AV5"/>
    <mergeCell ref="AW5:AX5"/>
    <mergeCell ref="G8:H8"/>
    <mergeCell ref="K5:L5"/>
    <mergeCell ref="AU8:AV8"/>
    <mergeCell ref="K7:L7"/>
    <mergeCell ref="AU6:AV6"/>
    <mergeCell ref="G7:H7"/>
    <mergeCell ref="G72:H72"/>
    <mergeCell ref="I72:J72"/>
    <mergeCell ref="K72:L72"/>
    <mergeCell ref="AU72:AV72"/>
    <mergeCell ref="AW72:AX72"/>
    <mergeCell ref="AA71:AB71"/>
    <mergeCell ref="AM62:AN62"/>
    <mergeCell ref="G67:H67"/>
    <mergeCell ref="I67:J67"/>
    <mergeCell ref="AM67:AP69"/>
    <mergeCell ref="AQ67:AT69"/>
    <mergeCell ref="AO62:AP62"/>
    <mergeCell ref="AQ62:AR62"/>
    <mergeCell ref="AS62:AT62"/>
    <mergeCell ref="AC71:AD71"/>
    <mergeCell ref="W72:X72"/>
  </mergeCells>
  <phoneticPr fontId="30" type="noConversion"/>
  <conditionalFormatting sqref="D28">
    <cfRule type="containsBlanks" dxfId="108" priority="1">
      <formula>LEN(TRIM(D28))=0</formula>
    </cfRule>
  </conditionalFormatting>
  <conditionalFormatting sqref="G12:AX12">
    <cfRule type="containsText" dxfId="107" priority="156" operator="containsText" text="No">
      <formula>NOT(ISERROR(SEARCH("No",G12)))</formula>
    </cfRule>
  </conditionalFormatting>
  <conditionalFormatting sqref="G27:AX27">
    <cfRule type="cellIs" dxfId="106" priority="184" operator="greaterThanOrEqual">
      <formula>21</formula>
    </cfRule>
    <cfRule type="cellIs" dxfId="105" priority="187" operator="between">
      <formula>10</formula>
      <formula>1</formula>
    </cfRule>
    <cfRule type="cellIs" dxfId="104" priority="186" operator="between">
      <formula>11</formula>
      <formula>16</formula>
    </cfRule>
    <cfRule type="cellIs" dxfId="103" priority="185" operator="between">
      <formula>17</formula>
      <formula>20</formula>
    </cfRule>
    <cfRule type="cellIs" priority="29" operator="equal">
      <formula>0</formula>
    </cfRule>
  </conditionalFormatting>
  <conditionalFormatting sqref="G44:AX46">
    <cfRule type="containsText" dxfId="102" priority="181" operator="containsText" text="Yes">
      <formula>NOT(ISERROR(SEARCH("Yes",G44)))</formula>
    </cfRule>
    <cfRule type="containsText" dxfId="101" priority="180" operator="containsText" text="No">
      <formula>NOT(ISERROR(SEARCH("No",G44)))</formula>
    </cfRule>
  </conditionalFormatting>
  <conditionalFormatting sqref="I66">
    <cfRule type="cellIs" dxfId="100" priority="190" operator="equal">
      <formula>"High Cost"</formula>
    </cfRule>
    <cfRule type="cellIs" dxfId="99" priority="189" operator="equal">
      <formula>"Medium Cost"</formula>
    </cfRule>
    <cfRule type="cellIs" dxfId="98" priority="188" operator="equal">
      <formula>"Low Cost"</formula>
    </cfRule>
  </conditionalFormatting>
  <conditionalFormatting sqref="I19:J20">
    <cfRule type="cellIs" dxfId="97" priority="199" operator="equal">
      <formula>"High Cost"</formula>
    </cfRule>
    <cfRule type="cellIs" dxfId="96" priority="198" operator="equal">
      <formula>"Medium Cost"</formula>
    </cfRule>
    <cfRule type="cellIs" dxfId="95" priority="197" operator="equal">
      <formula>"Low Cost"</formula>
    </cfRule>
  </conditionalFormatting>
  <conditionalFormatting sqref="J47:J49">
    <cfRule type="cellIs" dxfId="94" priority="89" operator="greaterThan">
      <formula>0</formula>
    </cfRule>
    <cfRule type="cellIs" dxfId="93" priority="88" operator="lessThanOrEqual">
      <formula>0</formula>
    </cfRule>
  </conditionalFormatting>
  <conditionalFormatting sqref="M19:N20">
    <cfRule type="cellIs" dxfId="92" priority="26" operator="equal">
      <formula>"Low Cost"</formula>
    </cfRule>
    <cfRule type="cellIs" dxfId="91" priority="27" operator="equal">
      <formula>"Medium Cost"</formula>
    </cfRule>
    <cfRule type="cellIs" dxfId="90" priority="28" operator="equal">
      <formula>"High Cost"</formula>
    </cfRule>
  </conditionalFormatting>
  <conditionalFormatting sqref="N47:N49">
    <cfRule type="cellIs" dxfId="89" priority="49" operator="greaterThan">
      <formula>0</formula>
    </cfRule>
    <cfRule type="cellIs" dxfId="88" priority="48" operator="lessThanOrEqual">
      <formula>0</formula>
    </cfRule>
  </conditionalFormatting>
  <conditionalFormatting sqref="Q19:V20">
    <cfRule type="cellIs" dxfId="87" priority="23" operator="equal">
      <formula>"Low Cost"</formula>
    </cfRule>
    <cfRule type="cellIs" dxfId="86" priority="24" operator="equal">
      <formula>"Medium Cost"</formula>
    </cfRule>
    <cfRule type="cellIs" dxfId="85" priority="25" operator="equal">
      <formula>"High Cost"</formula>
    </cfRule>
  </conditionalFormatting>
  <conditionalFormatting sqref="R47:V49">
    <cfRule type="cellIs" dxfId="84" priority="31" operator="greaterThan">
      <formula>0</formula>
    </cfRule>
    <cfRule type="cellIs" dxfId="83" priority="30" operator="lessThanOrEqual">
      <formula>0</formula>
    </cfRule>
  </conditionalFormatting>
  <conditionalFormatting sqref="Y19:Z20">
    <cfRule type="cellIs" dxfId="82" priority="20" operator="equal">
      <formula>"Low Cost"</formula>
    </cfRule>
    <cfRule type="cellIs" dxfId="81" priority="21" operator="equal">
      <formula>"Medium Cost"</formula>
    </cfRule>
    <cfRule type="cellIs" dxfId="80" priority="22" operator="equal">
      <formula>"High Cost"</formula>
    </cfRule>
  </conditionalFormatting>
  <conditionalFormatting sqref="Z47:Z49">
    <cfRule type="cellIs" dxfId="79" priority="44" operator="lessThanOrEqual">
      <formula>0</formula>
    </cfRule>
    <cfRule type="cellIs" dxfId="78" priority="45" operator="greaterThan">
      <formula>0</formula>
    </cfRule>
  </conditionalFormatting>
  <conditionalFormatting sqref="AC19:AD20">
    <cfRule type="cellIs" dxfId="77" priority="18" operator="equal">
      <formula>"Medium Cost"</formula>
    </cfRule>
    <cfRule type="cellIs" dxfId="76" priority="17" operator="equal">
      <formula>"Low Cost"</formula>
    </cfRule>
    <cfRule type="cellIs" dxfId="75" priority="19" operator="equal">
      <formula>"High Cost"</formula>
    </cfRule>
  </conditionalFormatting>
  <conditionalFormatting sqref="AD47:AD49">
    <cfRule type="cellIs" dxfId="74" priority="42" operator="lessThanOrEqual">
      <formula>0</formula>
    </cfRule>
    <cfRule type="cellIs" dxfId="73" priority="43" operator="greaterThan">
      <formula>0</formula>
    </cfRule>
  </conditionalFormatting>
  <conditionalFormatting sqref="AG19:AH20">
    <cfRule type="cellIs" dxfId="72" priority="15" operator="equal">
      <formula>"Medium Cost"</formula>
    </cfRule>
    <cfRule type="cellIs" dxfId="71" priority="14" operator="equal">
      <formula>"Low Cost"</formula>
    </cfRule>
    <cfRule type="cellIs" dxfId="70" priority="16" operator="equal">
      <formula>"High Cost"</formula>
    </cfRule>
  </conditionalFormatting>
  <conditionalFormatting sqref="AH47:AH49">
    <cfRule type="cellIs" dxfId="69" priority="41" operator="greaterThan">
      <formula>0</formula>
    </cfRule>
    <cfRule type="cellIs" dxfId="68" priority="40" operator="lessThanOrEqual">
      <formula>0</formula>
    </cfRule>
  </conditionalFormatting>
  <conditionalFormatting sqref="AK19:AL20">
    <cfRule type="cellIs" dxfId="67" priority="13" operator="equal">
      <formula>"High Cost"</formula>
    </cfRule>
    <cfRule type="cellIs" dxfId="66" priority="12" operator="equal">
      <formula>"Medium Cost"</formula>
    </cfRule>
    <cfRule type="cellIs" dxfId="65" priority="11" operator="equal">
      <formula>"Low Cost"</formula>
    </cfRule>
  </conditionalFormatting>
  <conditionalFormatting sqref="AL47:AL49">
    <cfRule type="cellIs" dxfId="64" priority="39" operator="greaterThan">
      <formula>0</formula>
    </cfRule>
    <cfRule type="cellIs" dxfId="63" priority="38" operator="lessThanOrEqual">
      <formula>0</formula>
    </cfRule>
  </conditionalFormatting>
  <conditionalFormatting sqref="AO19:AP20">
    <cfRule type="cellIs" dxfId="62" priority="8" operator="equal">
      <formula>"Low Cost"</formula>
    </cfRule>
    <cfRule type="cellIs" dxfId="61" priority="10" operator="equal">
      <formula>"High Cost"</formula>
    </cfRule>
    <cfRule type="cellIs" dxfId="60" priority="9" operator="equal">
      <formula>"Medium Cost"</formula>
    </cfRule>
  </conditionalFormatting>
  <conditionalFormatting sqref="AP47:AP49">
    <cfRule type="cellIs" dxfId="59" priority="36" operator="lessThanOrEqual">
      <formula>0</formula>
    </cfRule>
    <cfRule type="cellIs" dxfId="58" priority="37" operator="greaterThan">
      <formula>0</formula>
    </cfRule>
  </conditionalFormatting>
  <conditionalFormatting sqref="AS19:AT20">
    <cfRule type="cellIs" dxfId="57" priority="7" operator="equal">
      <formula>"High Cost"</formula>
    </cfRule>
    <cfRule type="cellIs" dxfId="56" priority="6" operator="equal">
      <formula>"Medium Cost"</formula>
    </cfRule>
    <cfRule type="cellIs" dxfId="55" priority="5" operator="equal">
      <formula>"Low Cost"</formula>
    </cfRule>
  </conditionalFormatting>
  <conditionalFormatting sqref="AT47:AT49">
    <cfRule type="cellIs" dxfId="54" priority="34" operator="lessThanOrEqual">
      <formula>0</formula>
    </cfRule>
    <cfRule type="cellIs" dxfId="53" priority="35" operator="greaterThan">
      <formula>0</formula>
    </cfRule>
  </conditionalFormatting>
  <conditionalFormatting sqref="AW19:AX20">
    <cfRule type="cellIs" dxfId="52" priority="4" operator="equal">
      <formula>"High Cost"</formula>
    </cfRule>
    <cfRule type="cellIs" dxfId="51" priority="3" operator="equal">
      <formula>"Medium Cost"</formula>
    </cfRule>
    <cfRule type="cellIs" dxfId="50" priority="2" operator="equal">
      <formula>"Low Cost"</formula>
    </cfRule>
  </conditionalFormatting>
  <conditionalFormatting sqref="AX47:AX49">
    <cfRule type="cellIs" dxfId="49" priority="33" operator="greaterThan">
      <formula>0</formula>
    </cfRule>
    <cfRule type="cellIs" dxfId="48" priority="32" operator="lessThanOrEqual">
      <formula>0</formula>
    </cfRule>
  </conditionalFormatting>
  <dataValidations count="2">
    <dataValidation type="list" allowBlank="1" showInputMessage="1" showErrorMessage="1" sqref="T8:U9" xr:uid="{8786AA66-D0BF-4FAA-9146-ECD1B66D6DCB}">
      <formula1>"offer, last PO"</formula1>
    </dataValidation>
    <dataValidation type="list" allowBlank="1" showInputMessage="1" showErrorMessage="1" sqref="M4:N4" xr:uid="{71379179-3B1B-45C5-8AEF-04E1D13FCBAC}">
      <formula1>"Capex [Motherson budget],Eng. Capex [CUST funded]"</formula1>
    </dataValidation>
  </dataValidations>
  <printOptions horizontalCentered="1" verticalCentered="1"/>
  <pageMargins left="0.31496062992125984" right="0.31496062992125984" top="0" bottom="0.35433070866141736" header="0.31496062992125984" footer="0.31496062992125984"/>
  <pageSetup paperSize="9" scale="40" orientation="landscape" r:id="rId1"/>
  <ignoredErrors>
    <ignoredError sqref="W40:AW42 G27:J27 J28 G41:R42 K27:R27 K5:L5 K29:R29 K7:L7 K6:L6 R6 J30:J37 H67 U29:U37 Z30:AX37 O6:P6 K10:R10 K8:L8 O8:P8 K31:R37 N30 R30 H40:R40 K9:L9 N9:P9 K4:P4 R4 R5 R7 R8 R9 H69 H68 J67 J68 J69 N7:P7 N5:P5" unlockedFormula="1"/>
  </ignoredErrors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200-000000000000}">
          <x14:formula1>
            <xm:f>country_class!$B$3:$B$77</xm:f>
          </x14:formula1>
          <xm:sqref>AQ19:AR20 G19:H20 T19:T20 AA19:AB20 O19:P20 K19:L20 W19:X20 AM19:AN20 AI19:AJ20 AE19:AF20 AU19:AV20</xm:sqref>
        </x14:dataValidation>
        <x14:dataValidation type="list" allowBlank="1" showInputMessage="1" showErrorMessage="1" xr:uid="{00000000-0002-0000-0200-000001000000}">
          <x14:formula1>
            <xm:f>'6. exchange_rates'!$C$3:$C$35</xm:f>
          </x14:formula1>
          <xm:sqref>G28 AE28 AI28 AM28 AQ28 AA28 O28 W28 T28 AU28 K28 D28</xm:sqref>
        </x14:dataValidation>
        <x14:dataValidation type="list" allowBlank="1" showInputMessage="1" showErrorMessage="1" xr:uid="{44078FB2-FE88-426D-A75A-0AABC4C77E18}">
          <x14:formula1>
            <xm:f>calc!$B$3:$B$12</xm:f>
          </x14:formula1>
          <xm:sqref>G66:H66</xm:sqref>
        </x14:dataValidation>
        <x14:dataValidation type="list" allowBlank="1" showInputMessage="1" showErrorMessage="1" xr:uid="{00000000-0002-0000-0200-000002000000}">
          <x14:formula1>
            <xm:f>calc!$G$18:$G$19</xm:f>
          </x14:formula1>
          <xm:sqref>D46:D47 G44:AX46 G60:AX61 G12:AX12</xm:sqref>
        </x14:dataValidation>
        <x14:dataValidation type="list" allowBlank="1" showInputMessage="1" showErrorMessage="1" xr:uid="{0B3093E4-982C-4D6A-9240-D3D7AD52B271}">
          <x14:formula1>
            <xm:f>calc!$B$24:$B$59</xm:f>
          </x14:formula1>
          <xm:sqref>I9:J9</xm:sqref>
        </x14:dataValidation>
        <x14:dataValidation type="list" allowBlank="1" showInputMessage="1" showErrorMessage="1" xr:uid="{00000000-0002-0000-0200-000004000000}">
          <x14:formula1>
            <xm:f>calc!$G$14:$G$16</xm:f>
          </x14:formula1>
          <xm:sqref>G11:AX11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791B6-91C0-4529-BE6D-AAE53B1A12E1}">
  <sheetPr>
    <tabColor rgb="FF002060"/>
  </sheetPr>
  <dimension ref="A2:J56"/>
  <sheetViews>
    <sheetView showGridLines="0" view="pageBreakPreview" zoomScaleNormal="100" zoomScaleSheetLayoutView="100" workbookViewId="0">
      <selection activeCell="C47" sqref="C47"/>
    </sheetView>
  </sheetViews>
  <sheetFormatPr defaultColWidth="10.26953125" defaultRowHeight="14" x14ac:dyDescent="0.3"/>
  <cols>
    <col min="1" max="1" width="13" style="80" customWidth="1"/>
    <col min="2" max="2" width="2.81640625" style="80" customWidth="1"/>
    <col min="3" max="3" width="7.81640625" style="80" customWidth="1"/>
    <col min="4" max="6" width="10.26953125" style="80" customWidth="1"/>
    <col min="7" max="7" width="13.81640625" style="80" customWidth="1"/>
    <col min="8" max="8" width="10.26953125" style="80" customWidth="1"/>
    <col min="9" max="9" width="5.7265625" style="80" customWidth="1"/>
    <col min="10" max="10" width="15.54296875" style="80" customWidth="1"/>
    <col min="11" max="256" width="10.26953125" style="80"/>
    <col min="257" max="257" width="13" style="80" customWidth="1"/>
    <col min="258" max="258" width="2.453125" style="80" customWidth="1"/>
    <col min="259" max="259" width="7.81640625" style="80" customWidth="1"/>
    <col min="260" max="262" width="10.26953125" style="80"/>
    <col min="263" max="263" width="13.81640625" style="80" customWidth="1"/>
    <col min="264" max="264" width="10.26953125" style="80"/>
    <col min="265" max="265" width="5.7265625" style="80" customWidth="1"/>
    <col min="266" max="266" width="15.54296875" style="80" customWidth="1"/>
    <col min="267" max="512" width="10.26953125" style="80"/>
    <col min="513" max="513" width="13" style="80" customWidth="1"/>
    <col min="514" max="514" width="2.453125" style="80" customWidth="1"/>
    <col min="515" max="515" width="7.81640625" style="80" customWidth="1"/>
    <col min="516" max="518" width="10.26953125" style="80"/>
    <col min="519" max="519" width="13.81640625" style="80" customWidth="1"/>
    <col min="520" max="520" width="10.26953125" style="80"/>
    <col min="521" max="521" width="5.7265625" style="80" customWidth="1"/>
    <col min="522" max="522" width="15.54296875" style="80" customWidth="1"/>
    <col min="523" max="768" width="10.26953125" style="80"/>
    <col min="769" max="769" width="13" style="80" customWidth="1"/>
    <col min="770" max="770" width="2.453125" style="80" customWidth="1"/>
    <col min="771" max="771" width="7.81640625" style="80" customWidth="1"/>
    <col min="772" max="774" width="10.26953125" style="80"/>
    <col min="775" max="775" width="13.81640625" style="80" customWidth="1"/>
    <col min="776" max="776" width="10.26953125" style="80"/>
    <col min="777" max="777" width="5.7265625" style="80" customWidth="1"/>
    <col min="778" max="778" width="15.54296875" style="80" customWidth="1"/>
    <col min="779" max="1024" width="10.26953125" style="80"/>
    <col min="1025" max="1025" width="13" style="80" customWidth="1"/>
    <col min="1026" max="1026" width="2.453125" style="80" customWidth="1"/>
    <col min="1027" max="1027" width="7.81640625" style="80" customWidth="1"/>
    <col min="1028" max="1030" width="10.26953125" style="80"/>
    <col min="1031" max="1031" width="13.81640625" style="80" customWidth="1"/>
    <col min="1032" max="1032" width="10.26953125" style="80"/>
    <col min="1033" max="1033" width="5.7265625" style="80" customWidth="1"/>
    <col min="1034" max="1034" width="15.54296875" style="80" customWidth="1"/>
    <col min="1035" max="1280" width="10.26953125" style="80"/>
    <col min="1281" max="1281" width="13" style="80" customWidth="1"/>
    <col min="1282" max="1282" width="2.453125" style="80" customWidth="1"/>
    <col min="1283" max="1283" width="7.81640625" style="80" customWidth="1"/>
    <col min="1284" max="1286" width="10.26953125" style="80"/>
    <col min="1287" max="1287" width="13.81640625" style="80" customWidth="1"/>
    <col min="1288" max="1288" width="10.26953125" style="80"/>
    <col min="1289" max="1289" width="5.7265625" style="80" customWidth="1"/>
    <col min="1290" max="1290" width="15.54296875" style="80" customWidth="1"/>
    <col min="1291" max="1536" width="10.26953125" style="80"/>
    <col min="1537" max="1537" width="13" style="80" customWidth="1"/>
    <col min="1538" max="1538" width="2.453125" style="80" customWidth="1"/>
    <col min="1539" max="1539" width="7.81640625" style="80" customWidth="1"/>
    <col min="1540" max="1542" width="10.26953125" style="80"/>
    <col min="1543" max="1543" width="13.81640625" style="80" customWidth="1"/>
    <col min="1544" max="1544" width="10.26953125" style="80"/>
    <col min="1545" max="1545" width="5.7265625" style="80" customWidth="1"/>
    <col min="1546" max="1546" width="15.54296875" style="80" customWidth="1"/>
    <col min="1547" max="1792" width="10.26953125" style="80"/>
    <col min="1793" max="1793" width="13" style="80" customWidth="1"/>
    <col min="1794" max="1794" width="2.453125" style="80" customWidth="1"/>
    <col min="1795" max="1795" width="7.81640625" style="80" customWidth="1"/>
    <col min="1796" max="1798" width="10.26953125" style="80"/>
    <col min="1799" max="1799" width="13.81640625" style="80" customWidth="1"/>
    <col min="1800" max="1800" width="10.26953125" style="80"/>
    <col min="1801" max="1801" width="5.7265625" style="80" customWidth="1"/>
    <col min="1802" max="1802" width="15.54296875" style="80" customWidth="1"/>
    <col min="1803" max="2048" width="10.26953125" style="80"/>
    <col min="2049" max="2049" width="13" style="80" customWidth="1"/>
    <col min="2050" max="2050" width="2.453125" style="80" customWidth="1"/>
    <col min="2051" max="2051" width="7.81640625" style="80" customWidth="1"/>
    <col min="2052" max="2054" width="10.26953125" style="80"/>
    <col min="2055" max="2055" width="13.81640625" style="80" customWidth="1"/>
    <col min="2056" max="2056" width="10.26953125" style="80"/>
    <col min="2057" max="2057" width="5.7265625" style="80" customWidth="1"/>
    <col min="2058" max="2058" width="15.54296875" style="80" customWidth="1"/>
    <col min="2059" max="2304" width="10.26953125" style="80"/>
    <col min="2305" max="2305" width="13" style="80" customWidth="1"/>
    <col min="2306" max="2306" width="2.453125" style="80" customWidth="1"/>
    <col min="2307" max="2307" width="7.81640625" style="80" customWidth="1"/>
    <col min="2308" max="2310" width="10.26953125" style="80"/>
    <col min="2311" max="2311" width="13.81640625" style="80" customWidth="1"/>
    <col min="2312" max="2312" width="10.26953125" style="80"/>
    <col min="2313" max="2313" width="5.7265625" style="80" customWidth="1"/>
    <col min="2314" max="2314" width="15.54296875" style="80" customWidth="1"/>
    <col min="2315" max="2560" width="10.26953125" style="80"/>
    <col min="2561" max="2561" width="13" style="80" customWidth="1"/>
    <col min="2562" max="2562" width="2.453125" style="80" customWidth="1"/>
    <col min="2563" max="2563" width="7.81640625" style="80" customWidth="1"/>
    <col min="2564" max="2566" width="10.26953125" style="80"/>
    <col min="2567" max="2567" width="13.81640625" style="80" customWidth="1"/>
    <col min="2568" max="2568" width="10.26953125" style="80"/>
    <col min="2569" max="2569" width="5.7265625" style="80" customWidth="1"/>
    <col min="2570" max="2570" width="15.54296875" style="80" customWidth="1"/>
    <col min="2571" max="2816" width="10.26953125" style="80"/>
    <col min="2817" max="2817" width="13" style="80" customWidth="1"/>
    <col min="2818" max="2818" width="2.453125" style="80" customWidth="1"/>
    <col min="2819" max="2819" width="7.81640625" style="80" customWidth="1"/>
    <col min="2820" max="2822" width="10.26953125" style="80"/>
    <col min="2823" max="2823" width="13.81640625" style="80" customWidth="1"/>
    <col min="2824" max="2824" width="10.26953125" style="80"/>
    <col min="2825" max="2825" width="5.7265625" style="80" customWidth="1"/>
    <col min="2826" max="2826" width="15.54296875" style="80" customWidth="1"/>
    <col min="2827" max="3072" width="10.26953125" style="80"/>
    <col min="3073" max="3073" width="13" style="80" customWidth="1"/>
    <col min="3074" max="3074" width="2.453125" style="80" customWidth="1"/>
    <col min="3075" max="3075" width="7.81640625" style="80" customWidth="1"/>
    <col min="3076" max="3078" width="10.26953125" style="80"/>
    <col min="3079" max="3079" width="13.81640625" style="80" customWidth="1"/>
    <col min="3080" max="3080" width="10.26953125" style="80"/>
    <col min="3081" max="3081" width="5.7265625" style="80" customWidth="1"/>
    <col min="3082" max="3082" width="15.54296875" style="80" customWidth="1"/>
    <col min="3083" max="3328" width="10.26953125" style="80"/>
    <col min="3329" max="3329" width="13" style="80" customWidth="1"/>
    <col min="3330" max="3330" width="2.453125" style="80" customWidth="1"/>
    <col min="3331" max="3331" width="7.81640625" style="80" customWidth="1"/>
    <col min="3332" max="3334" width="10.26953125" style="80"/>
    <col min="3335" max="3335" width="13.81640625" style="80" customWidth="1"/>
    <col min="3336" max="3336" width="10.26953125" style="80"/>
    <col min="3337" max="3337" width="5.7265625" style="80" customWidth="1"/>
    <col min="3338" max="3338" width="15.54296875" style="80" customWidth="1"/>
    <col min="3339" max="3584" width="10.26953125" style="80"/>
    <col min="3585" max="3585" width="13" style="80" customWidth="1"/>
    <col min="3586" max="3586" width="2.453125" style="80" customWidth="1"/>
    <col min="3587" max="3587" width="7.81640625" style="80" customWidth="1"/>
    <col min="3588" max="3590" width="10.26953125" style="80"/>
    <col min="3591" max="3591" width="13.81640625" style="80" customWidth="1"/>
    <col min="3592" max="3592" width="10.26953125" style="80"/>
    <col min="3593" max="3593" width="5.7265625" style="80" customWidth="1"/>
    <col min="3594" max="3594" width="15.54296875" style="80" customWidth="1"/>
    <col min="3595" max="3840" width="10.26953125" style="80"/>
    <col min="3841" max="3841" width="13" style="80" customWidth="1"/>
    <col min="3842" max="3842" width="2.453125" style="80" customWidth="1"/>
    <col min="3843" max="3843" width="7.81640625" style="80" customWidth="1"/>
    <col min="3844" max="3846" width="10.26953125" style="80"/>
    <col min="3847" max="3847" width="13.81640625" style="80" customWidth="1"/>
    <col min="3848" max="3848" width="10.26953125" style="80"/>
    <col min="3849" max="3849" width="5.7265625" style="80" customWidth="1"/>
    <col min="3850" max="3850" width="15.54296875" style="80" customWidth="1"/>
    <col min="3851" max="4096" width="10.26953125" style="80"/>
    <col min="4097" max="4097" width="13" style="80" customWidth="1"/>
    <col min="4098" max="4098" width="2.453125" style="80" customWidth="1"/>
    <col min="4099" max="4099" width="7.81640625" style="80" customWidth="1"/>
    <col min="4100" max="4102" width="10.26953125" style="80"/>
    <col min="4103" max="4103" width="13.81640625" style="80" customWidth="1"/>
    <col min="4104" max="4104" width="10.26953125" style="80"/>
    <col min="4105" max="4105" width="5.7265625" style="80" customWidth="1"/>
    <col min="4106" max="4106" width="15.54296875" style="80" customWidth="1"/>
    <col min="4107" max="4352" width="10.26953125" style="80"/>
    <col min="4353" max="4353" width="13" style="80" customWidth="1"/>
    <col min="4354" max="4354" width="2.453125" style="80" customWidth="1"/>
    <col min="4355" max="4355" width="7.81640625" style="80" customWidth="1"/>
    <col min="4356" max="4358" width="10.26953125" style="80"/>
    <col min="4359" max="4359" width="13.81640625" style="80" customWidth="1"/>
    <col min="4360" max="4360" width="10.26953125" style="80"/>
    <col min="4361" max="4361" width="5.7265625" style="80" customWidth="1"/>
    <col min="4362" max="4362" width="15.54296875" style="80" customWidth="1"/>
    <col min="4363" max="4608" width="10.26953125" style="80"/>
    <col min="4609" max="4609" width="13" style="80" customWidth="1"/>
    <col min="4610" max="4610" width="2.453125" style="80" customWidth="1"/>
    <col min="4611" max="4611" width="7.81640625" style="80" customWidth="1"/>
    <col min="4612" max="4614" width="10.26953125" style="80"/>
    <col min="4615" max="4615" width="13.81640625" style="80" customWidth="1"/>
    <col min="4616" max="4616" width="10.26953125" style="80"/>
    <col min="4617" max="4617" width="5.7265625" style="80" customWidth="1"/>
    <col min="4618" max="4618" width="15.54296875" style="80" customWidth="1"/>
    <col min="4619" max="4864" width="10.26953125" style="80"/>
    <col min="4865" max="4865" width="13" style="80" customWidth="1"/>
    <col min="4866" max="4866" width="2.453125" style="80" customWidth="1"/>
    <col min="4867" max="4867" width="7.81640625" style="80" customWidth="1"/>
    <col min="4868" max="4870" width="10.26953125" style="80"/>
    <col min="4871" max="4871" width="13.81640625" style="80" customWidth="1"/>
    <col min="4872" max="4872" width="10.26953125" style="80"/>
    <col min="4873" max="4873" width="5.7265625" style="80" customWidth="1"/>
    <col min="4874" max="4874" width="15.54296875" style="80" customWidth="1"/>
    <col min="4875" max="5120" width="10.26953125" style="80"/>
    <col min="5121" max="5121" width="13" style="80" customWidth="1"/>
    <col min="5122" max="5122" width="2.453125" style="80" customWidth="1"/>
    <col min="5123" max="5123" width="7.81640625" style="80" customWidth="1"/>
    <col min="5124" max="5126" width="10.26953125" style="80"/>
    <col min="5127" max="5127" width="13.81640625" style="80" customWidth="1"/>
    <col min="5128" max="5128" width="10.26953125" style="80"/>
    <col min="5129" max="5129" width="5.7265625" style="80" customWidth="1"/>
    <col min="5130" max="5130" width="15.54296875" style="80" customWidth="1"/>
    <col min="5131" max="5376" width="10.26953125" style="80"/>
    <col min="5377" max="5377" width="13" style="80" customWidth="1"/>
    <col min="5378" max="5378" width="2.453125" style="80" customWidth="1"/>
    <col min="5379" max="5379" width="7.81640625" style="80" customWidth="1"/>
    <col min="5380" max="5382" width="10.26953125" style="80"/>
    <col min="5383" max="5383" width="13.81640625" style="80" customWidth="1"/>
    <col min="5384" max="5384" width="10.26953125" style="80"/>
    <col min="5385" max="5385" width="5.7265625" style="80" customWidth="1"/>
    <col min="5386" max="5386" width="15.54296875" style="80" customWidth="1"/>
    <col min="5387" max="5632" width="10.26953125" style="80"/>
    <col min="5633" max="5633" width="13" style="80" customWidth="1"/>
    <col min="5634" max="5634" width="2.453125" style="80" customWidth="1"/>
    <col min="5635" max="5635" width="7.81640625" style="80" customWidth="1"/>
    <col min="5636" max="5638" width="10.26953125" style="80"/>
    <col min="5639" max="5639" width="13.81640625" style="80" customWidth="1"/>
    <col min="5640" max="5640" width="10.26953125" style="80"/>
    <col min="5641" max="5641" width="5.7265625" style="80" customWidth="1"/>
    <col min="5642" max="5642" width="15.54296875" style="80" customWidth="1"/>
    <col min="5643" max="5888" width="10.26953125" style="80"/>
    <col min="5889" max="5889" width="13" style="80" customWidth="1"/>
    <col min="5890" max="5890" width="2.453125" style="80" customWidth="1"/>
    <col min="5891" max="5891" width="7.81640625" style="80" customWidth="1"/>
    <col min="5892" max="5894" width="10.26953125" style="80"/>
    <col min="5895" max="5895" width="13.81640625" style="80" customWidth="1"/>
    <col min="5896" max="5896" width="10.26953125" style="80"/>
    <col min="5897" max="5897" width="5.7265625" style="80" customWidth="1"/>
    <col min="5898" max="5898" width="15.54296875" style="80" customWidth="1"/>
    <col min="5899" max="6144" width="10.26953125" style="80"/>
    <col min="6145" max="6145" width="13" style="80" customWidth="1"/>
    <col min="6146" max="6146" width="2.453125" style="80" customWidth="1"/>
    <col min="6147" max="6147" width="7.81640625" style="80" customWidth="1"/>
    <col min="6148" max="6150" width="10.26953125" style="80"/>
    <col min="6151" max="6151" width="13.81640625" style="80" customWidth="1"/>
    <col min="6152" max="6152" width="10.26953125" style="80"/>
    <col min="6153" max="6153" width="5.7265625" style="80" customWidth="1"/>
    <col min="6154" max="6154" width="15.54296875" style="80" customWidth="1"/>
    <col min="6155" max="6400" width="10.26953125" style="80"/>
    <col min="6401" max="6401" width="13" style="80" customWidth="1"/>
    <col min="6402" max="6402" width="2.453125" style="80" customWidth="1"/>
    <col min="6403" max="6403" width="7.81640625" style="80" customWidth="1"/>
    <col min="6404" max="6406" width="10.26953125" style="80"/>
    <col min="6407" max="6407" width="13.81640625" style="80" customWidth="1"/>
    <col min="6408" max="6408" width="10.26953125" style="80"/>
    <col min="6409" max="6409" width="5.7265625" style="80" customWidth="1"/>
    <col min="6410" max="6410" width="15.54296875" style="80" customWidth="1"/>
    <col min="6411" max="6656" width="10.26953125" style="80"/>
    <col min="6657" max="6657" width="13" style="80" customWidth="1"/>
    <col min="6658" max="6658" width="2.453125" style="80" customWidth="1"/>
    <col min="6659" max="6659" width="7.81640625" style="80" customWidth="1"/>
    <col min="6660" max="6662" width="10.26953125" style="80"/>
    <col min="6663" max="6663" width="13.81640625" style="80" customWidth="1"/>
    <col min="6664" max="6664" width="10.26953125" style="80"/>
    <col min="6665" max="6665" width="5.7265625" style="80" customWidth="1"/>
    <col min="6666" max="6666" width="15.54296875" style="80" customWidth="1"/>
    <col min="6667" max="6912" width="10.26953125" style="80"/>
    <col min="6913" max="6913" width="13" style="80" customWidth="1"/>
    <col min="6914" max="6914" width="2.453125" style="80" customWidth="1"/>
    <col min="6915" max="6915" width="7.81640625" style="80" customWidth="1"/>
    <col min="6916" max="6918" width="10.26953125" style="80"/>
    <col min="6919" max="6919" width="13.81640625" style="80" customWidth="1"/>
    <col min="6920" max="6920" width="10.26953125" style="80"/>
    <col min="6921" max="6921" width="5.7265625" style="80" customWidth="1"/>
    <col min="6922" max="6922" width="15.54296875" style="80" customWidth="1"/>
    <col min="6923" max="7168" width="10.26953125" style="80"/>
    <col min="7169" max="7169" width="13" style="80" customWidth="1"/>
    <col min="7170" max="7170" width="2.453125" style="80" customWidth="1"/>
    <col min="7171" max="7171" width="7.81640625" style="80" customWidth="1"/>
    <col min="7172" max="7174" width="10.26953125" style="80"/>
    <col min="7175" max="7175" width="13.81640625" style="80" customWidth="1"/>
    <col min="7176" max="7176" width="10.26953125" style="80"/>
    <col min="7177" max="7177" width="5.7265625" style="80" customWidth="1"/>
    <col min="7178" max="7178" width="15.54296875" style="80" customWidth="1"/>
    <col min="7179" max="7424" width="10.26953125" style="80"/>
    <col min="7425" max="7425" width="13" style="80" customWidth="1"/>
    <col min="7426" max="7426" width="2.453125" style="80" customWidth="1"/>
    <col min="7427" max="7427" width="7.81640625" style="80" customWidth="1"/>
    <col min="7428" max="7430" width="10.26953125" style="80"/>
    <col min="7431" max="7431" width="13.81640625" style="80" customWidth="1"/>
    <col min="7432" max="7432" width="10.26953125" style="80"/>
    <col min="7433" max="7433" width="5.7265625" style="80" customWidth="1"/>
    <col min="7434" max="7434" width="15.54296875" style="80" customWidth="1"/>
    <col min="7435" max="7680" width="10.26953125" style="80"/>
    <col min="7681" max="7681" width="13" style="80" customWidth="1"/>
    <col min="7682" max="7682" width="2.453125" style="80" customWidth="1"/>
    <col min="7683" max="7683" width="7.81640625" style="80" customWidth="1"/>
    <col min="7684" max="7686" width="10.26953125" style="80"/>
    <col min="7687" max="7687" width="13.81640625" style="80" customWidth="1"/>
    <col min="7688" max="7688" width="10.26953125" style="80"/>
    <col min="7689" max="7689" width="5.7265625" style="80" customWidth="1"/>
    <col min="7690" max="7690" width="15.54296875" style="80" customWidth="1"/>
    <col min="7691" max="7936" width="10.26953125" style="80"/>
    <col min="7937" max="7937" width="13" style="80" customWidth="1"/>
    <col min="7938" max="7938" width="2.453125" style="80" customWidth="1"/>
    <col min="7939" max="7939" width="7.81640625" style="80" customWidth="1"/>
    <col min="7940" max="7942" width="10.26953125" style="80"/>
    <col min="7943" max="7943" width="13.81640625" style="80" customWidth="1"/>
    <col min="7944" max="7944" width="10.26953125" style="80"/>
    <col min="7945" max="7945" width="5.7265625" style="80" customWidth="1"/>
    <col min="7946" max="7946" width="15.54296875" style="80" customWidth="1"/>
    <col min="7947" max="8192" width="10.26953125" style="80"/>
    <col min="8193" max="8193" width="13" style="80" customWidth="1"/>
    <col min="8194" max="8194" width="2.453125" style="80" customWidth="1"/>
    <col min="8195" max="8195" width="7.81640625" style="80" customWidth="1"/>
    <col min="8196" max="8198" width="10.26953125" style="80"/>
    <col min="8199" max="8199" width="13.81640625" style="80" customWidth="1"/>
    <col min="8200" max="8200" width="10.26953125" style="80"/>
    <col min="8201" max="8201" width="5.7265625" style="80" customWidth="1"/>
    <col min="8202" max="8202" width="15.54296875" style="80" customWidth="1"/>
    <col min="8203" max="8448" width="10.26953125" style="80"/>
    <col min="8449" max="8449" width="13" style="80" customWidth="1"/>
    <col min="8450" max="8450" width="2.453125" style="80" customWidth="1"/>
    <col min="8451" max="8451" width="7.81640625" style="80" customWidth="1"/>
    <col min="8452" max="8454" width="10.26953125" style="80"/>
    <col min="8455" max="8455" width="13.81640625" style="80" customWidth="1"/>
    <col min="8456" max="8456" width="10.26953125" style="80"/>
    <col min="8457" max="8457" width="5.7265625" style="80" customWidth="1"/>
    <col min="8458" max="8458" width="15.54296875" style="80" customWidth="1"/>
    <col min="8459" max="8704" width="10.26953125" style="80"/>
    <col min="8705" max="8705" width="13" style="80" customWidth="1"/>
    <col min="8706" max="8706" width="2.453125" style="80" customWidth="1"/>
    <col min="8707" max="8707" width="7.81640625" style="80" customWidth="1"/>
    <col min="8708" max="8710" width="10.26953125" style="80"/>
    <col min="8711" max="8711" width="13.81640625" style="80" customWidth="1"/>
    <col min="8712" max="8712" width="10.26953125" style="80"/>
    <col min="8713" max="8713" width="5.7265625" style="80" customWidth="1"/>
    <col min="8714" max="8714" width="15.54296875" style="80" customWidth="1"/>
    <col min="8715" max="8960" width="10.26953125" style="80"/>
    <col min="8961" max="8961" width="13" style="80" customWidth="1"/>
    <col min="8962" max="8962" width="2.453125" style="80" customWidth="1"/>
    <col min="8963" max="8963" width="7.81640625" style="80" customWidth="1"/>
    <col min="8964" max="8966" width="10.26953125" style="80"/>
    <col min="8967" max="8967" width="13.81640625" style="80" customWidth="1"/>
    <col min="8968" max="8968" width="10.26953125" style="80"/>
    <col min="8969" max="8969" width="5.7265625" style="80" customWidth="1"/>
    <col min="8970" max="8970" width="15.54296875" style="80" customWidth="1"/>
    <col min="8971" max="9216" width="10.26953125" style="80"/>
    <col min="9217" max="9217" width="13" style="80" customWidth="1"/>
    <col min="9218" max="9218" width="2.453125" style="80" customWidth="1"/>
    <col min="9219" max="9219" width="7.81640625" style="80" customWidth="1"/>
    <col min="9220" max="9222" width="10.26953125" style="80"/>
    <col min="9223" max="9223" width="13.81640625" style="80" customWidth="1"/>
    <col min="9224" max="9224" width="10.26953125" style="80"/>
    <col min="9225" max="9225" width="5.7265625" style="80" customWidth="1"/>
    <col min="9226" max="9226" width="15.54296875" style="80" customWidth="1"/>
    <col min="9227" max="9472" width="10.26953125" style="80"/>
    <col min="9473" max="9473" width="13" style="80" customWidth="1"/>
    <col min="9474" max="9474" width="2.453125" style="80" customWidth="1"/>
    <col min="9475" max="9475" width="7.81640625" style="80" customWidth="1"/>
    <col min="9476" max="9478" width="10.26953125" style="80"/>
    <col min="9479" max="9479" width="13.81640625" style="80" customWidth="1"/>
    <col min="9480" max="9480" width="10.26953125" style="80"/>
    <col min="9481" max="9481" width="5.7265625" style="80" customWidth="1"/>
    <col min="9482" max="9482" width="15.54296875" style="80" customWidth="1"/>
    <col min="9483" max="9728" width="10.26953125" style="80"/>
    <col min="9729" max="9729" width="13" style="80" customWidth="1"/>
    <col min="9730" max="9730" width="2.453125" style="80" customWidth="1"/>
    <col min="9731" max="9731" width="7.81640625" style="80" customWidth="1"/>
    <col min="9732" max="9734" width="10.26953125" style="80"/>
    <col min="9735" max="9735" width="13.81640625" style="80" customWidth="1"/>
    <col min="9736" max="9736" width="10.26953125" style="80"/>
    <col min="9737" max="9737" width="5.7265625" style="80" customWidth="1"/>
    <col min="9738" max="9738" width="15.54296875" style="80" customWidth="1"/>
    <col min="9739" max="9984" width="10.26953125" style="80"/>
    <col min="9985" max="9985" width="13" style="80" customWidth="1"/>
    <col min="9986" max="9986" width="2.453125" style="80" customWidth="1"/>
    <col min="9987" max="9987" width="7.81640625" style="80" customWidth="1"/>
    <col min="9988" max="9990" width="10.26953125" style="80"/>
    <col min="9991" max="9991" width="13.81640625" style="80" customWidth="1"/>
    <col min="9992" max="9992" width="10.26953125" style="80"/>
    <col min="9993" max="9993" width="5.7265625" style="80" customWidth="1"/>
    <col min="9994" max="9994" width="15.54296875" style="80" customWidth="1"/>
    <col min="9995" max="10240" width="10.26953125" style="80"/>
    <col min="10241" max="10241" width="13" style="80" customWidth="1"/>
    <col min="10242" max="10242" width="2.453125" style="80" customWidth="1"/>
    <col min="10243" max="10243" width="7.81640625" style="80" customWidth="1"/>
    <col min="10244" max="10246" width="10.26953125" style="80"/>
    <col min="10247" max="10247" width="13.81640625" style="80" customWidth="1"/>
    <col min="10248" max="10248" width="10.26953125" style="80"/>
    <col min="10249" max="10249" width="5.7265625" style="80" customWidth="1"/>
    <col min="10250" max="10250" width="15.54296875" style="80" customWidth="1"/>
    <col min="10251" max="10496" width="10.26953125" style="80"/>
    <col min="10497" max="10497" width="13" style="80" customWidth="1"/>
    <col min="10498" max="10498" width="2.453125" style="80" customWidth="1"/>
    <col min="10499" max="10499" width="7.81640625" style="80" customWidth="1"/>
    <col min="10500" max="10502" width="10.26953125" style="80"/>
    <col min="10503" max="10503" width="13.81640625" style="80" customWidth="1"/>
    <col min="10504" max="10504" width="10.26953125" style="80"/>
    <col min="10505" max="10505" width="5.7265625" style="80" customWidth="1"/>
    <col min="10506" max="10506" width="15.54296875" style="80" customWidth="1"/>
    <col min="10507" max="10752" width="10.26953125" style="80"/>
    <col min="10753" max="10753" width="13" style="80" customWidth="1"/>
    <col min="10754" max="10754" width="2.453125" style="80" customWidth="1"/>
    <col min="10755" max="10755" width="7.81640625" style="80" customWidth="1"/>
    <col min="10756" max="10758" width="10.26953125" style="80"/>
    <col min="10759" max="10759" width="13.81640625" style="80" customWidth="1"/>
    <col min="10760" max="10760" width="10.26953125" style="80"/>
    <col min="10761" max="10761" width="5.7265625" style="80" customWidth="1"/>
    <col min="10762" max="10762" width="15.54296875" style="80" customWidth="1"/>
    <col min="10763" max="11008" width="10.26953125" style="80"/>
    <col min="11009" max="11009" width="13" style="80" customWidth="1"/>
    <col min="11010" max="11010" width="2.453125" style="80" customWidth="1"/>
    <col min="11011" max="11011" width="7.81640625" style="80" customWidth="1"/>
    <col min="11012" max="11014" width="10.26953125" style="80"/>
    <col min="11015" max="11015" width="13.81640625" style="80" customWidth="1"/>
    <col min="11016" max="11016" width="10.26953125" style="80"/>
    <col min="11017" max="11017" width="5.7265625" style="80" customWidth="1"/>
    <col min="11018" max="11018" width="15.54296875" style="80" customWidth="1"/>
    <col min="11019" max="11264" width="10.26953125" style="80"/>
    <col min="11265" max="11265" width="13" style="80" customWidth="1"/>
    <col min="11266" max="11266" width="2.453125" style="80" customWidth="1"/>
    <col min="11267" max="11267" width="7.81640625" style="80" customWidth="1"/>
    <col min="11268" max="11270" width="10.26953125" style="80"/>
    <col min="11271" max="11271" width="13.81640625" style="80" customWidth="1"/>
    <col min="11272" max="11272" width="10.26953125" style="80"/>
    <col min="11273" max="11273" width="5.7265625" style="80" customWidth="1"/>
    <col min="11274" max="11274" width="15.54296875" style="80" customWidth="1"/>
    <col min="11275" max="11520" width="10.26953125" style="80"/>
    <col min="11521" max="11521" width="13" style="80" customWidth="1"/>
    <col min="11522" max="11522" width="2.453125" style="80" customWidth="1"/>
    <col min="11523" max="11523" width="7.81640625" style="80" customWidth="1"/>
    <col min="11524" max="11526" width="10.26953125" style="80"/>
    <col min="11527" max="11527" width="13.81640625" style="80" customWidth="1"/>
    <col min="11528" max="11528" width="10.26953125" style="80"/>
    <col min="11529" max="11529" width="5.7265625" style="80" customWidth="1"/>
    <col min="11530" max="11530" width="15.54296875" style="80" customWidth="1"/>
    <col min="11531" max="11776" width="10.26953125" style="80"/>
    <col min="11777" max="11777" width="13" style="80" customWidth="1"/>
    <col min="11778" max="11778" width="2.453125" style="80" customWidth="1"/>
    <col min="11779" max="11779" width="7.81640625" style="80" customWidth="1"/>
    <col min="11780" max="11782" width="10.26953125" style="80"/>
    <col min="11783" max="11783" width="13.81640625" style="80" customWidth="1"/>
    <col min="11784" max="11784" width="10.26953125" style="80"/>
    <col min="11785" max="11785" width="5.7265625" style="80" customWidth="1"/>
    <col min="11786" max="11786" width="15.54296875" style="80" customWidth="1"/>
    <col min="11787" max="12032" width="10.26953125" style="80"/>
    <col min="12033" max="12033" width="13" style="80" customWidth="1"/>
    <col min="12034" max="12034" width="2.453125" style="80" customWidth="1"/>
    <col min="12035" max="12035" width="7.81640625" style="80" customWidth="1"/>
    <col min="12036" max="12038" width="10.26953125" style="80"/>
    <col min="12039" max="12039" width="13.81640625" style="80" customWidth="1"/>
    <col min="12040" max="12040" width="10.26953125" style="80"/>
    <col min="12041" max="12041" width="5.7265625" style="80" customWidth="1"/>
    <col min="12042" max="12042" width="15.54296875" style="80" customWidth="1"/>
    <col min="12043" max="12288" width="10.26953125" style="80"/>
    <col min="12289" max="12289" width="13" style="80" customWidth="1"/>
    <col min="12290" max="12290" width="2.453125" style="80" customWidth="1"/>
    <col min="12291" max="12291" width="7.81640625" style="80" customWidth="1"/>
    <col min="12292" max="12294" width="10.26953125" style="80"/>
    <col min="12295" max="12295" width="13.81640625" style="80" customWidth="1"/>
    <col min="12296" max="12296" width="10.26953125" style="80"/>
    <col min="12297" max="12297" width="5.7265625" style="80" customWidth="1"/>
    <col min="12298" max="12298" width="15.54296875" style="80" customWidth="1"/>
    <col min="12299" max="12544" width="10.26953125" style="80"/>
    <col min="12545" max="12545" width="13" style="80" customWidth="1"/>
    <col min="12546" max="12546" width="2.453125" style="80" customWidth="1"/>
    <col min="12547" max="12547" width="7.81640625" style="80" customWidth="1"/>
    <col min="12548" max="12550" width="10.26953125" style="80"/>
    <col min="12551" max="12551" width="13.81640625" style="80" customWidth="1"/>
    <col min="12552" max="12552" width="10.26953125" style="80"/>
    <col min="12553" max="12553" width="5.7265625" style="80" customWidth="1"/>
    <col min="12554" max="12554" width="15.54296875" style="80" customWidth="1"/>
    <col min="12555" max="12800" width="10.26953125" style="80"/>
    <col min="12801" max="12801" width="13" style="80" customWidth="1"/>
    <col min="12802" max="12802" width="2.453125" style="80" customWidth="1"/>
    <col min="12803" max="12803" width="7.81640625" style="80" customWidth="1"/>
    <col min="12804" max="12806" width="10.26953125" style="80"/>
    <col min="12807" max="12807" width="13.81640625" style="80" customWidth="1"/>
    <col min="12808" max="12808" width="10.26953125" style="80"/>
    <col min="12809" max="12809" width="5.7265625" style="80" customWidth="1"/>
    <col min="12810" max="12810" width="15.54296875" style="80" customWidth="1"/>
    <col min="12811" max="13056" width="10.26953125" style="80"/>
    <col min="13057" max="13057" width="13" style="80" customWidth="1"/>
    <col min="13058" max="13058" width="2.453125" style="80" customWidth="1"/>
    <col min="13059" max="13059" width="7.81640625" style="80" customWidth="1"/>
    <col min="13060" max="13062" width="10.26953125" style="80"/>
    <col min="13063" max="13063" width="13.81640625" style="80" customWidth="1"/>
    <col min="13064" max="13064" width="10.26953125" style="80"/>
    <col min="13065" max="13065" width="5.7265625" style="80" customWidth="1"/>
    <col min="13066" max="13066" width="15.54296875" style="80" customWidth="1"/>
    <col min="13067" max="13312" width="10.26953125" style="80"/>
    <col min="13313" max="13313" width="13" style="80" customWidth="1"/>
    <col min="13314" max="13314" width="2.453125" style="80" customWidth="1"/>
    <col min="13315" max="13315" width="7.81640625" style="80" customWidth="1"/>
    <col min="13316" max="13318" width="10.26953125" style="80"/>
    <col min="13319" max="13319" width="13.81640625" style="80" customWidth="1"/>
    <col min="13320" max="13320" width="10.26953125" style="80"/>
    <col min="13321" max="13321" width="5.7265625" style="80" customWidth="1"/>
    <col min="13322" max="13322" width="15.54296875" style="80" customWidth="1"/>
    <col min="13323" max="13568" width="10.26953125" style="80"/>
    <col min="13569" max="13569" width="13" style="80" customWidth="1"/>
    <col min="13570" max="13570" width="2.453125" style="80" customWidth="1"/>
    <col min="13571" max="13571" width="7.81640625" style="80" customWidth="1"/>
    <col min="13572" max="13574" width="10.26953125" style="80"/>
    <col min="13575" max="13575" width="13.81640625" style="80" customWidth="1"/>
    <col min="13576" max="13576" width="10.26953125" style="80"/>
    <col min="13577" max="13577" width="5.7265625" style="80" customWidth="1"/>
    <col min="13578" max="13578" width="15.54296875" style="80" customWidth="1"/>
    <col min="13579" max="13824" width="10.26953125" style="80"/>
    <col min="13825" max="13825" width="13" style="80" customWidth="1"/>
    <col min="13826" max="13826" width="2.453125" style="80" customWidth="1"/>
    <col min="13827" max="13827" width="7.81640625" style="80" customWidth="1"/>
    <col min="13828" max="13830" width="10.26953125" style="80"/>
    <col min="13831" max="13831" width="13.81640625" style="80" customWidth="1"/>
    <col min="13832" max="13832" width="10.26953125" style="80"/>
    <col min="13833" max="13833" width="5.7265625" style="80" customWidth="1"/>
    <col min="13834" max="13834" width="15.54296875" style="80" customWidth="1"/>
    <col min="13835" max="14080" width="10.26953125" style="80"/>
    <col min="14081" max="14081" width="13" style="80" customWidth="1"/>
    <col min="14082" max="14082" width="2.453125" style="80" customWidth="1"/>
    <col min="14083" max="14083" width="7.81640625" style="80" customWidth="1"/>
    <col min="14084" max="14086" width="10.26953125" style="80"/>
    <col min="14087" max="14087" width="13.81640625" style="80" customWidth="1"/>
    <col min="14088" max="14088" width="10.26953125" style="80"/>
    <col min="14089" max="14089" width="5.7265625" style="80" customWidth="1"/>
    <col min="14090" max="14090" width="15.54296875" style="80" customWidth="1"/>
    <col min="14091" max="14336" width="10.26953125" style="80"/>
    <col min="14337" max="14337" width="13" style="80" customWidth="1"/>
    <col min="14338" max="14338" width="2.453125" style="80" customWidth="1"/>
    <col min="14339" max="14339" width="7.81640625" style="80" customWidth="1"/>
    <col min="14340" max="14342" width="10.26953125" style="80"/>
    <col min="14343" max="14343" width="13.81640625" style="80" customWidth="1"/>
    <col min="14344" max="14344" width="10.26953125" style="80"/>
    <col min="14345" max="14345" width="5.7265625" style="80" customWidth="1"/>
    <col min="14346" max="14346" width="15.54296875" style="80" customWidth="1"/>
    <col min="14347" max="14592" width="10.26953125" style="80"/>
    <col min="14593" max="14593" width="13" style="80" customWidth="1"/>
    <col min="14594" max="14594" width="2.453125" style="80" customWidth="1"/>
    <col min="14595" max="14595" width="7.81640625" style="80" customWidth="1"/>
    <col min="14596" max="14598" width="10.26953125" style="80"/>
    <col min="14599" max="14599" width="13.81640625" style="80" customWidth="1"/>
    <col min="14600" max="14600" width="10.26953125" style="80"/>
    <col min="14601" max="14601" width="5.7265625" style="80" customWidth="1"/>
    <col min="14602" max="14602" width="15.54296875" style="80" customWidth="1"/>
    <col min="14603" max="14848" width="10.26953125" style="80"/>
    <col min="14849" max="14849" width="13" style="80" customWidth="1"/>
    <col min="14850" max="14850" width="2.453125" style="80" customWidth="1"/>
    <col min="14851" max="14851" width="7.81640625" style="80" customWidth="1"/>
    <col min="14852" max="14854" width="10.26953125" style="80"/>
    <col min="14855" max="14855" width="13.81640625" style="80" customWidth="1"/>
    <col min="14856" max="14856" width="10.26953125" style="80"/>
    <col min="14857" max="14857" width="5.7265625" style="80" customWidth="1"/>
    <col min="14858" max="14858" width="15.54296875" style="80" customWidth="1"/>
    <col min="14859" max="15104" width="10.26953125" style="80"/>
    <col min="15105" max="15105" width="13" style="80" customWidth="1"/>
    <col min="15106" max="15106" width="2.453125" style="80" customWidth="1"/>
    <col min="15107" max="15107" width="7.81640625" style="80" customWidth="1"/>
    <col min="15108" max="15110" width="10.26953125" style="80"/>
    <col min="15111" max="15111" width="13.81640625" style="80" customWidth="1"/>
    <col min="15112" max="15112" width="10.26953125" style="80"/>
    <col min="15113" max="15113" width="5.7265625" style="80" customWidth="1"/>
    <col min="15114" max="15114" width="15.54296875" style="80" customWidth="1"/>
    <col min="15115" max="15360" width="10.26953125" style="80"/>
    <col min="15361" max="15361" width="13" style="80" customWidth="1"/>
    <col min="15362" max="15362" width="2.453125" style="80" customWidth="1"/>
    <col min="15363" max="15363" width="7.81640625" style="80" customWidth="1"/>
    <col min="15364" max="15366" width="10.26953125" style="80"/>
    <col min="15367" max="15367" width="13.81640625" style="80" customWidth="1"/>
    <col min="15368" max="15368" width="10.26953125" style="80"/>
    <col min="15369" max="15369" width="5.7265625" style="80" customWidth="1"/>
    <col min="15370" max="15370" width="15.54296875" style="80" customWidth="1"/>
    <col min="15371" max="15616" width="10.26953125" style="80"/>
    <col min="15617" max="15617" width="13" style="80" customWidth="1"/>
    <col min="15618" max="15618" width="2.453125" style="80" customWidth="1"/>
    <col min="15619" max="15619" width="7.81640625" style="80" customWidth="1"/>
    <col min="15620" max="15622" width="10.26953125" style="80"/>
    <col min="15623" max="15623" width="13.81640625" style="80" customWidth="1"/>
    <col min="15624" max="15624" width="10.26953125" style="80"/>
    <col min="15625" max="15625" width="5.7265625" style="80" customWidth="1"/>
    <col min="15626" max="15626" width="15.54296875" style="80" customWidth="1"/>
    <col min="15627" max="15872" width="10.26953125" style="80"/>
    <col min="15873" max="15873" width="13" style="80" customWidth="1"/>
    <col min="15874" max="15874" width="2.453125" style="80" customWidth="1"/>
    <col min="15875" max="15875" width="7.81640625" style="80" customWidth="1"/>
    <col min="15876" max="15878" width="10.26953125" style="80"/>
    <col min="15879" max="15879" width="13.81640625" style="80" customWidth="1"/>
    <col min="15880" max="15880" width="10.26953125" style="80"/>
    <col min="15881" max="15881" width="5.7265625" style="80" customWidth="1"/>
    <col min="15882" max="15882" width="15.54296875" style="80" customWidth="1"/>
    <col min="15883" max="16128" width="10.26953125" style="80"/>
    <col min="16129" max="16129" width="13" style="80" customWidth="1"/>
    <col min="16130" max="16130" width="2.453125" style="80" customWidth="1"/>
    <col min="16131" max="16131" width="7.81640625" style="80" customWidth="1"/>
    <col min="16132" max="16134" width="10.26953125" style="80"/>
    <col min="16135" max="16135" width="13.81640625" style="80" customWidth="1"/>
    <col min="16136" max="16136" width="10.26953125" style="80"/>
    <col min="16137" max="16137" width="5.7265625" style="80" customWidth="1"/>
    <col min="16138" max="16138" width="15.54296875" style="80" customWidth="1"/>
    <col min="16139" max="16384" width="10.26953125" style="80"/>
  </cols>
  <sheetData>
    <row r="2" spans="1:10" x14ac:dyDescent="0.3">
      <c r="G2" s="81"/>
    </row>
    <row r="5" spans="1:10" ht="18" x14ac:dyDescent="0.4">
      <c r="A5" s="365"/>
      <c r="B5" s="365"/>
      <c r="C5" s="365"/>
      <c r="D5" s="365"/>
      <c r="E5" s="365"/>
      <c r="F5" s="365"/>
      <c r="G5" s="365"/>
      <c r="H5" s="365"/>
      <c r="I5" s="365"/>
      <c r="J5" s="365"/>
    </row>
    <row r="6" spans="1:10" x14ac:dyDescent="0.3">
      <c r="A6" s="366" t="s">
        <v>195</v>
      </c>
      <c r="B6" s="366"/>
      <c r="C6" s="366"/>
      <c r="D6" s="366"/>
      <c r="E6" s="366"/>
      <c r="F6" s="366"/>
      <c r="G6" s="366"/>
      <c r="H6" s="366"/>
      <c r="I6" s="366"/>
      <c r="J6" s="366"/>
    </row>
    <row r="7" spans="1:10" x14ac:dyDescent="0.3">
      <c r="A7" s="82"/>
      <c r="B7" s="82"/>
      <c r="C7" s="82"/>
      <c r="D7" s="82"/>
      <c r="E7" s="82"/>
      <c r="F7" s="82"/>
      <c r="G7" s="82"/>
      <c r="H7" s="82"/>
      <c r="I7" s="83" t="s">
        <v>196</v>
      </c>
      <c r="J7" s="84"/>
    </row>
    <row r="8" spans="1:10" x14ac:dyDescent="0.3">
      <c r="A8" s="82" t="s">
        <v>197</v>
      </c>
      <c r="B8" s="82"/>
      <c r="C8" s="82"/>
      <c r="D8" s="82"/>
      <c r="E8" s="82"/>
      <c r="F8" s="82"/>
      <c r="G8" s="82"/>
      <c r="H8" s="82"/>
      <c r="I8" s="83" t="s">
        <v>198</v>
      </c>
      <c r="J8" s="85"/>
    </row>
    <row r="9" spans="1:10" x14ac:dyDescent="0.3">
      <c r="A9" s="82" t="s">
        <v>199</v>
      </c>
      <c r="B9" s="82"/>
      <c r="C9" s="82"/>
      <c r="D9" s="82"/>
      <c r="E9" s="82"/>
      <c r="F9" s="82"/>
      <c r="G9" s="82"/>
      <c r="H9" s="82"/>
      <c r="I9" s="82"/>
      <c r="J9" s="82"/>
    </row>
    <row r="10" spans="1:10" x14ac:dyDescent="0.3">
      <c r="A10" s="82" t="s">
        <v>200</v>
      </c>
      <c r="B10" s="82"/>
      <c r="C10" s="82"/>
      <c r="D10" s="82"/>
      <c r="E10" s="82"/>
      <c r="F10" s="82"/>
      <c r="G10" s="82"/>
      <c r="H10" s="82"/>
      <c r="I10" s="82"/>
      <c r="J10" s="82"/>
    </row>
    <row r="11" spans="1:10" x14ac:dyDescent="0.3">
      <c r="A11" s="82" t="s">
        <v>201</v>
      </c>
      <c r="B11" s="82"/>
      <c r="C11" s="82"/>
      <c r="D11" s="82"/>
      <c r="E11" s="82"/>
      <c r="F11" s="82"/>
      <c r="G11" s="82"/>
    </row>
    <row r="12" spans="1:10" x14ac:dyDescent="0.3">
      <c r="B12" s="82"/>
      <c r="C12" s="82"/>
      <c r="D12" s="82"/>
      <c r="E12" s="82"/>
      <c r="F12" s="82"/>
      <c r="G12" s="82"/>
      <c r="H12" s="82"/>
      <c r="I12" s="82"/>
      <c r="J12" s="82"/>
    </row>
    <row r="13" spans="1:10" x14ac:dyDescent="0.3">
      <c r="A13" s="92"/>
      <c r="B13" s="95"/>
      <c r="C13" s="96" t="s">
        <v>202</v>
      </c>
      <c r="D13" s="82" t="s">
        <v>203</v>
      </c>
      <c r="E13" s="82"/>
      <c r="F13" s="82"/>
      <c r="G13" s="82"/>
      <c r="H13" s="82"/>
      <c r="I13" s="82"/>
      <c r="J13" s="82"/>
    </row>
    <row r="14" spans="1:10" x14ac:dyDescent="0.3">
      <c r="A14" s="82"/>
      <c r="B14" s="82"/>
      <c r="C14" s="96"/>
      <c r="D14" s="82" t="s">
        <v>204</v>
      </c>
      <c r="E14" s="82"/>
      <c r="F14" s="82"/>
      <c r="G14" s="82"/>
      <c r="H14" s="82"/>
      <c r="I14" s="82"/>
      <c r="J14" s="82"/>
    </row>
    <row r="15" spans="1:10" x14ac:dyDescent="0.3">
      <c r="A15" s="82"/>
      <c r="B15" s="82"/>
      <c r="C15" s="96"/>
      <c r="D15" s="82" t="s">
        <v>205</v>
      </c>
      <c r="E15" s="82"/>
      <c r="F15" s="82"/>
      <c r="G15" s="82"/>
      <c r="H15" s="82"/>
      <c r="I15" s="82"/>
      <c r="J15" s="82"/>
    </row>
    <row r="16" spans="1:10" x14ac:dyDescent="0.3">
      <c r="A16" s="82"/>
      <c r="B16" s="82"/>
      <c r="C16" s="96"/>
      <c r="D16" s="82"/>
      <c r="E16" s="82"/>
      <c r="F16" s="82"/>
      <c r="G16" s="82"/>
      <c r="H16" s="82"/>
      <c r="I16" s="82"/>
      <c r="J16" s="82"/>
    </row>
    <row r="17" spans="1:10" x14ac:dyDescent="0.3">
      <c r="A17" s="92"/>
      <c r="B17" s="95"/>
      <c r="C17" s="96" t="s">
        <v>206</v>
      </c>
      <c r="D17" s="82" t="s">
        <v>207</v>
      </c>
      <c r="E17" s="82"/>
      <c r="F17" s="82"/>
      <c r="G17" s="82"/>
      <c r="H17" s="82"/>
      <c r="I17" s="82"/>
      <c r="J17" s="82"/>
    </row>
    <row r="18" spans="1:10" x14ac:dyDescent="0.3">
      <c r="A18" s="82"/>
      <c r="B18" s="82"/>
      <c r="C18" s="96"/>
      <c r="D18" s="82" t="s">
        <v>208</v>
      </c>
      <c r="E18" s="82"/>
      <c r="F18" s="82"/>
      <c r="G18" s="82"/>
      <c r="H18" s="82"/>
      <c r="I18" s="82"/>
      <c r="J18" s="82"/>
    </row>
    <row r="19" spans="1:10" x14ac:dyDescent="0.3">
      <c r="A19" s="82"/>
      <c r="B19" s="82"/>
      <c r="C19" s="96"/>
      <c r="D19" s="82"/>
      <c r="E19" s="82"/>
      <c r="F19" s="82"/>
      <c r="G19" s="82"/>
      <c r="H19" s="82"/>
      <c r="I19" s="82"/>
      <c r="J19" s="82"/>
    </row>
    <row r="20" spans="1:10" x14ac:dyDescent="0.3">
      <c r="A20" s="92"/>
      <c r="B20" s="95"/>
      <c r="C20" s="96" t="s">
        <v>209</v>
      </c>
      <c r="D20" s="82" t="s">
        <v>210</v>
      </c>
      <c r="E20" s="82"/>
      <c r="F20" s="82"/>
      <c r="G20" s="82"/>
      <c r="H20" s="82"/>
      <c r="I20" s="82"/>
      <c r="J20" s="82"/>
    </row>
    <row r="21" spans="1:10" x14ac:dyDescent="0.3">
      <c r="A21" s="82"/>
      <c r="B21" s="82"/>
      <c r="C21" s="96"/>
      <c r="D21" s="82" t="s">
        <v>211</v>
      </c>
      <c r="E21" s="82"/>
      <c r="F21" s="82"/>
      <c r="G21" s="82"/>
      <c r="H21" s="82"/>
      <c r="I21" s="82"/>
      <c r="J21" s="82"/>
    </row>
    <row r="22" spans="1:10" x14ac:dyDescent="0.3">
      <c r="A22" s="82"/>
      <c r="B22" s="82"/>
      <c r="C22" s="96"/>
      <c r="D22" s="82"/>
      <c r="E22" s="82"/>
      <c r="F22" s="82"/>
      <c r="G22" s="82"/>
      <c r="H22" s="82"/>
      <c r="I22" s="82"/>
      <c r="J22" s="82"/>
    </row>
    <row r="23" spans="1:10" x14ac:dyDescent="0.3">
      <c r="A23" s="94"/>
      <c r="B23" s="95"/>
      <c r="C23" s="96" t="s">
        <v>212</v>
      </c>
      <c r="D23" s="82" t="s">
        <v>213</v>
      </c>
      <c r="E23" s="82"/>
      <c r="F23" s="82"/>
      <c r="G23" s="82"/>
      <c r="H23" s="82"/>
      <c r="I23" s="82"/>
      <c r="J23" s="82"/>
    </row>
    <row r="24" spans="1:10" x14ac:dyDescent="0.3">
      <c r="A24" s="82"/>
      <c r="B24" s="82"/>
      <c r="C24" s="96"/>
      <c r="D24" s="82" t="s">
        <v>214</v>
      </c>
      <c r="E24" s="82"/>
      <c r="F24" s="82"/>
      <c r="G24" s="82"/>
      <c r="H24" s="82"/>
      <c r="I24" s="82"/>
      <c r="J24" s="82"/>
    </row>
    <row r="25" spans="1:10" x14ac:dyDescent="0.3">
      <c r="A25" s="82"/>
      <c r="B25" s="82"/>
      <c r="C25" s="96"/>
      <c r="D25" s="82" t="s">
        <v>215</v>
      </c>
      <c r="E25" s="82"/>
      <c r="F25" s="82"/>
      <c r="G25" s="82"/>
      <c r="H25" s="82"/>
      <c r="I25" s="82"/>
      <c r="J25" s="82"/>
    </row>
    <row r="26" spans="1:10" x14ac:dyDescent="0.3">
      <c r="A26" s="82"/>
      <c r="B26" s="82"/>
      <c r="C26" s="96"/>
      <c r="D26" s="82" t="s">
        <v>216</v>
      </c>
      <c r="E26" s="82"/>
      <c r="F26" s="82"/>
      <c r="G26" s="82"/>
      <c r="H26" s="82"/>
      <c r="I26" s="82"/>
      <c r="J26" s="82"/>
    </row>
    <row r="27" spans="1:10" x14ac:dyDescent="0.3">
      <c r="A27" s="82"/>
      <c r="B27" s="82"/>
      <c r="C27" s="96"/>
      <c r="D27" s="82"/>
      <c r="E27" s="82"/>
      <c r="F27" s="82"/>
      <c r="G27" s="82"/>
      <c r="H27" s="82"/>
      <c r="I27" s="82"/>
      <c r="J27" s="82"/>
    </row>
    <row r="28" spans="1:10" x14ac:dyDescent="0.3">
      <c r="A28" s="94"/>
      <c r="B28" s="95"/>
      <c r="C28" s="96" t="s">
        <v>217</v>
      </c>
      <c r="D28" s="82" t="s">
        <v>218</v>
      </c>
      <c r="E28" s="82"/>
      <c r="F28" s="82"/>
      <c r="G28" s="82"/>
      <c r="H28" s="82"/>
      <c r="I28" s="82"/>
      <c r="J28" s="82"/>
    </row>
    <row r="29" spans="1:10" x14ac:dyDescent="0.3">
      <c r="A29" s="82"/>
      <c r="B29" s="82"/>
      <c r="C29" s="82"/>
      <c r="D29" s="82"/>
      <c r="E29" s="82"/>
      <c r="F29" s="82"/>
      <c r="G29" s="82"/>
      <c r="H29" s="82"/>
      <c r="I29" s="82"/>
      <c r="J29" s="82"/>
    </row>
    <row r="30" spans="1:10" x14ac:dyDescent="0.3">
      <c r="A30" s="82" t="s">
        <v>219</v>
      </c>
      <c r="B30" s="82"/>
      <c r="C30" s="82"/>
      <c r="D30" s="82"/>
      <c r="E30" s="82"/>
      <c r="F30" s="82"/>
      <c r="G30" s="82"/>
      <c r="H30" s="82"/>
      <c r="I30" s="82"/>
      <c r="J30" s="82"/>
    </row>
    <row r="31" spans="1:10" ht="16" x14ac:dyDescent="0.3">
      <c r="A31" s="86"/>
      <c r="B31" s="84"/>
      <c r="C31" s="84"/>
      <c r="D31" s="84"/>
      <c r="E31" s="84"/>
      <c r="F31" s="84"/>
      <c r="G31" s="84"/>
      <c r="H31" s="84"/>
      <c r="I31" s="84"/>
      <c r="J31" s="84"/>
    </row>
    <row r="32" spans="1:10" x14ac:dyDescent="0.3">
      <c r="A32" s="87"/>
      <c r="B32" s="88"/>
      <c r="C32" s="88"/>
      <c r="D32" s="88"/>
      <c r="E32" s="88"/>
      <c r="F32" s="88"/>
      <c r="G32" s="88"/>
      <c r="H32" s="88"/>
      <c r="I32" s="88"/>
      <c r="J32" s="88"/>
    </row>
    <row r="33" spans="1:10" x14ac:dyDescent="0.3">
      <c r="A33" s="88"/>
      <c r="B33" s="88"/>
      <c r="C33" s="88"/>
      <c r="D33" s="88"/>
      <c r="E33" s="88"/>
      <c r="F33" s="88"/>
      <c r="G33" s="88"/>
      <c r="H33" s="88"/>
      <c r="I33" s="88"/>
      <c r="J33" s="88"/>
    </row>
    <row r="34" spans="1:10" x14ac:dyDescent="0.3">
      <c r="A34" s="82" t="s">
        <v>220</v>
      </c>
      <c r="B34" s="82"/>
      <c r="C34" s="82"/>
      <c r="D34" s="82"/>
      <c r="E34" s="82"/>
      <c r="F34" s="82"/>
      <c r="G34" s="82"/>
      <c r="H34" s="82"/>
      <c r="I34" s="82"/>
      <c r="J34" s="82"/>
    </row>
    <row r="35" spans="1:10" x14ac:dyDescent="0.3">
      <c r="A35" s="84"/>
      <c r="B35" s="84"/>
      <c r="C35" s="84"/>
      <c r="D35" s="84"/>
      <c r="E35" s="84"/>
      <c r="F35" s="84"/>
      <c r="G35" s="84"/>
      <c r="H35" s="84"/>
      <c r="I35" s="84"/>
      <c r="J35" s="84"/>
    </row>
    <row r="36" spans="1:10" x14ac:dyDescent="0.3">
      <c r="A36" s="87"/>
      <c r="B36" s="88"/>
      <c r="C36" s="88"/>
      <c r="D36" s="88"/>
      <c r="E36" s="88"/>
      <c r="F36" s="88"/>
      <c r="G36" s="88"/>
      <c r="H36" s="88"/>
      <c r="I36" s="88"/>
      <c r="J36" s="88"/>
    </row>
    <row r="37" spans="1:10" x14ac:dyDescent="0.3">
      <c r="A37" s="88"/>
      <c r="B37" s="88"/>
      <c r="C37" s="88"/>
      <c r="D37" s="88"/>
      <c r="E37" s="88"/>
      <c r="F37" s="88"/>
      <c r="G37" s="88"/>
      <c r="H37" s="88"/>
      <c r="I37" s="88"/>
      <c r="J37" s="88"/>
    </row>
    <row r="38" spans="1:10" x14ac:dyDescent="0.3">
      <c r="A38" s="82" t="s">
        <v>221</v>
      </c>
      <c r="B38" s="82"/>
      <c r="C38" s="82"/>
      <c r="D38" s="82"/>
      <c r="E38" s="82"/>
      <c r="F38" s="82"/>
      <c r="G38" s="82"/>
      <c r="H38" s="82"/>
      <c r="I38" s="82"/>
      <c r="J38" s="82"/>
    </row>
    <row r="39" spans="1:10" x14ac:dyDescent="0.3">
      <c r="A39" s="89"/>
      <c r="B39" s="84"/>
      <c r="C39" s="84"/>
      <c r="D39" s="84"/>
      <c r="E39" s="84"/>
      <c r="F39" s="84"/>
      <c r="G39" s="84"/>
      <c r="H39" s="84"/>
      <c r="I39" s="84"/>
      <c r="J39" s="84"/>
    </row>
    <row r="40" spans="1:10" x14ac:dyDescent="0.3">
      <c r="A40" s="87"/>
      <c r="B40" s="88"/>
      <c r="C40" s="88"/>
      <c r="D40" s="88"/>
      <c r="E40" s="88"/>
      <c r="F40" s="88"/>
      <c r="G40" s="88"/>
      <c r="H40" s="88"/>
      <c r="I40" s="88"/>
      <c r="J40" s="88"/>
    </row>
    <row r="41" spans="1:10" x14ac:dyDescent="0.3">
      <c r="A41" s="88"/>
      <c r="B41" s="88"/>
      <c r="C41" s="88"/>
      <c r="D41" s="88"/>
      <c r="E41" s="88"/>
      <c r="F41" s="88"/>
      <c r="G41" s="88"/>
      <c r="H41" s="88"/>
      <c r="I41" s="88"/>
      <c r="J41" s="88"/>
    </row>
    <row r="42" spans="1:10" x14ac:dyDescent="0.3">
      <c r="A42" s="82"/>
      <c r="B42" s="82"/>
      <c r="C42" s="82"/>
      <c r="D42" s="82"/>
      <c r="E42" s="82"/>
      <c r="F42" s="82"/>
      <c r="G42" s="82"/>
      <c r="H42" s="82"/>
      <c r="I42" s="82"/>
      <c r="J42" s="82"/>
    </row>
    <row r="43" spans="1:10" x14ac:dyDescent="0.3">
      <c r="A43" s="90" t="s">
        <v>222</v>
      </c>
      <c r="B43" s="82"/>
      <c r="D43" s="84" t="s">
        <v>223</v>
      </c>
      <c r="E43" s="84"/>
      <c r="F43" s="84"/>
      <c r="G43" s="84" t="s">
        <v>224</v>
      </c>
      <c r="H43" s="84"/>
      <c r="I43" s="83" t="s">
        <v>225</v>
      </c>
      <c r="J43" s="91"/>
    </row>
    <row r="44" spans="1:10" x14ac:dyDescent="0.3">
      <c r="A44" s="82"/>
      <c r="B44" s="82"/>
      <c r="C44" s="92"/>
      <c r="D44" s="92"/>
      <c r="E44" s="92"/>
      <c r="F44" s="92"/>
      <c r="G44" s="92"/>
      <c r="H44" s="92"/>
      <c r="I44" s="83"/>
      <c r="J44" s="92"/>
    </row>
    <row r="45" spans="1:10" x14ac:dyDescent="0.3">
      <c r="A45" s="90"/>
      <c r="B45" s="90"/>
      <c r="C45" s="90"/>
      <c r="D45" s="90"/>
      <c r="E45" s="90"/>
      <c r="F45" s="90"/>
      <c r="G45" s="90"/>
      <c r="H45" s="90"/>
      <c r="I45" s="90"/>
      <c r="J45" s="90"/>
    </row>
    <row r="46" spans="1:10" x14ac:dyDescent="0.3">
      <c r="A46" s="90" t="s">
        <v>226</v>
      </c>
      <c r="B46" s="90"/>
      <c r="C46" s="90"/>
      <c r="D46" s="84" t="s">
        <v>223</v>
      </c>
      <c r="E46" s="84"/>
      <c r="F46" s="84"/>
      <c r="G46" s="84" t="s">
        <v>224</v>
      </c>
      <c r="H46" s="84"/>
      <c r="I46" s="83" t="s">
        <v>225</v>
      </c>
      <c r="J46" s="84"/>
    </row>
    <row r="47" spans="1:10" x14ac:dyDescent="0.3">
      <c r="A47" s="90"/>
      <c r="B47" s="90"/>
      <c r="C47" s="90"/>
      <c r="D47" s="92"/>
      <c r="E47" s="92"/>
      <c r="F47" s="92"/>
      <c r="G47" s="92"/>
      <c r="H47" s="92"/>
      <c r="I47" s="83"/>
      <c r="J47" s="92"/>
    </row>
    <row r="48" spans="1:10" ht="12.75" customHeight="1" x14ac:dyDescent="0.3">
      <c r="A48" s="82"/>
      <c r="B48" s="82"/>
      <c r="C48" s="82"/>
      <c r="D48" s="82"/>
      <c r="E48" s="82"/>
      <c r="F48" s="82"/>
      <c r="G48" s="82"/>
      <c r="I48" s="83"/>
      <c r="J48" s="82"/>
    </row>
    <row r="49" spans="1:10" ht="27" customHeight="1" x14ac:dyDescent="0.3">
      <c r="A49" s="367" t="s">
        <v>227</v>
      </c>
      <c r="B49" s="367"/>
      <c r="C49" s="367"/>
      <c r="D49" s="84" t="s">
        <v>223</v>
      </c>
      <c r="E49" s="84"/>
      <c r="F49" s="84"/>
      <c r="G49" s="84" t="s">
        <v>224</v>
      </c>
      <c r="H49" s="93"/>
      <c r="I49" s="83" t="s">
        <v>225</v>
      </c>
      <c r="J49" s="84"/>
    </row>
    <row r="50" spans="1:10" x14ac:dyDescent="0.3">
      <c r="A50" s="82"/>
      <c r="B50" s="82"/>
      <c r="C50" s="82"/>
      <c r="D50" s="82"/>
      <c r="E50" s="82"/>
      <c r="F50" s="82"/>
      <c r="G50" s="82"/>
      <c r="H50" s="82"/>
      <c r="I50" s="82"/>
      <c r="J50" s="82"/>
    </row>
    <row r="51" spans="1:10" x14ac:dyDescent="0.3">
      <c r="A51" s="82" t="s">
        <v>228</v>
      </c>
      <c r="B51" s="82"/>
      <c r="C51" s="82"/>
      <c r="D51" s="82"/>
      <c r="E51" s="82"/>
      <c r="F51" s="82"/>
      <c r="G51" s="82"/>
      <c r="H51" s="82"/>
      <c r="I51" s="82"/>
      <c r="J51" s="82"/>
    </row>
    <row r="52" spans="1:10" x14ac:dyDescent="0.3">
      <c r="A52" s="84"/>
      <c r="B52" s="84"/>
      <c r="C52" s="84"/>
      <c r="D52" s="84"/>
      <c r="E52" s="84"/>
      <c r="F52" s="84"/>
      <c r="G52" s="84"/>
      <c r="H52" s="84"/>
      <c r="I52" s="84"/>
      <c r="J52" s="84"/>
    </row>
    <row r="53" spans="1:10" x14ac:dyDescent="0.3">
      <c r="A53" s="88"/>
      <c r="B53" s="88"/>
      <c r="C53" s="88"/>
      <c r="D53" s="88"/>
      <c r="E53" s="88"/>
      <c r="F53" s="88"/>
      <c r="G53" s="88"/>
      <c r="H53" s="88"/>
      <c r="I53" s="88"/>
      <c r="J53" s="88"/>
    </row>
    <row r="54" spans="1:10" x14ac:dyDescent="0.3">
      <c r="A54" s="88"/>
      <c r="B54" s="88"/>
      <c r="C54" s="88"/>
      <c r="D54" s="88"/>
      <c r="E54" s="88"/>
      <c r="F54" s="88"/>
      <c r="G54" s="88"/>
      <c r="H54" s="88"/>
      <c r="I54" s="88"/>
      <c r="J54" s="88"/>
    </row>
    <row r="55" spans="1:10" x14ac:dyDescent="0.3">
      <c r="A55" s="88"/>
      <c r="B55" s="88"/>
      <c r="C55" s="88"/>
      <c r="D55" s="88"/>
      <c r="E55" s="88"/>
      <c r="F55" s="88"/>
      <c r="G55" s="88"/>
      <c r="H55" s="88"/>
      <c r="I55" s="88"/>
      <c r="J55" s="88"/>
    </row>
    <row r="56" spans="1:10" x14ac:dyDescent="0.3">
      <c r="A56" s="82"/>
      <c r="B56" s="82"/>
      <c r="C56" s="82"/>
      <c r="D56" s="82"/>
      <c r="E56" s="82"/>
      <c r="F56" s="82"/>
      <c r="G56" s="82"/>
      <c r="H56" s="82"/>
      <c r="I56" s="82"/>
      <c r="J56" s="82"/>
    </row>
  </sheetData>
  <mergeCells count="3">
    <mergeCell ref="A5:J5"/>
    <mergeCell ref="A6:J6"/>
    <mergeCell ref="A49:C49"/>
  </mergeCells>
  <pageMargins left="0.32" right="0.24" top="0.36" bottom="0.69" header="0.11811023622047245" footer="0.18"/>
  <pageSetup paperSize="9" orientation="portrait" r:id="rId1"/>
  <headerFooter alignWithMargins="0">
    <oddFooter>&amp;LCompiled by Mac Cheema  30/06/2016 - First release
Revised by Lousie Osgood 03/06/2021 - Added in Print and Signed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  <pageSetUpPr fitToPage="1"/>
  </sheetPr>
  <dimension ref="B1:T29"/>
  <sheetViews>
    <sheetView showGridLines="0" zoomScaleNormal="100" workbookViewId="0">
      <selection activeCell="B28" sqref="B28"/>
    </sheetView>
  </sheetViews>
  <sheetFormatPr defaultColWidth="11.453125" defaultRowHeight="14.5" x14ac:dyDescent="0.35"/>
  <cols>
    <col min="1" max="1" width="3.26953125" customWidth="1"/>
    <col min="2" max="2" width="15.81640625" bestFit="1" customWidth="1"/>
    <col min="3" max="3" width="17.26953125" customWidth="1"/>
    <col min="4" max="4" width="11" style="57" bestFit="1" customWidth="1"/>
    <col min="5" max="5" width="19.54296875" style="57" customWidth="1"/>
    <col min="6" max="6" width="19" style="57" customWidth="1"/>
    <col min="7" max="7" width="15.81640625" style="57" customWidth="1"/>
    <col min="8" max="8" width="6.7265625" customWidth="1"/>
    <col min="9" max="9" width="15.1796875" hidden="1" customWidth="1"/>
    <col min="10" max="10" width="17.7265625" hidden="1" customWidth="1"/>
    <col min="11" max="11" width="15.1796875" hidden="1" customWidth="1"/>
    <col min="12" max="13" width="24.81640625" hidden="1" customWidth="1"/>
    <col min="14" max="14" width="17" hidden="1" customWidth="1"/>
    <col min="15" max="15" width="15.1796875" customWidth="1"/>
  </cols>
  <sheetData>
    <row r="1" spans="2:20" ht="70.5" customHeight="1" thickBot="1" x14ac:dyDescent="0.4">
      <c r="I1" s="368" t="s">
        <v>229</v>
      </c>
      <c r="J1" s="368"/>
      <c r="K1" s="368"/>
      <c r="L1" s="368"/>
      <c r="M1" s="368"/>
      <c r="N1" s="368"/>
    </row>
    <row r="2" spans="2:20" ht="15" customHeight="1" thickBot="1" x14ac:dyDescent="0.4">
      <c r="B2" s="112" t="s">
        <v>230</v>
      </c>
      <c r="C2" s="114" t="str">
        <f>'1. MPBC'!G67</f>
        <v/>
      </c>
      <c r="I2" s="103"/>
      <c r="J2" s="103"/>
      <c r="K2" s="103"/>
      <c r="L2" s="103"/>
      <c r="M2" s="103"/>
      <c r="N2" s="103"/>
    </row>
    <row r="3" spans="2:20" x14ac:dyDescent="0.35">
      <c r="B3" s="71" t="s">
        <v>231</v>
      </c>
      <c r="C3" s="113" t="str">
        <f>'1. MPBC'!I67</f>
        <v/>
      </c>
      <c r="D3" s="106"/>
      <c r="E3" s="369" t="s">
        <v>232</v>
      </c>
      <c r="F3" s="370"/>
      <c r="G3" s="107">
        <f>IF(J19=2,SUMPRODUCT(F9:F17,K9:K17)-SUMPRODUCT(D9:D17,J9:J17),"check %")</f>
        <v>113</v>
      </c>
      <c r="I3" s="371" t="s">
        <v>233</v>
      </c>
      <c r="J3" s="373" t="s">
        <v>234</v>
      </c>
      <c r="K3" s="375" t="s">
        <v>235</v>
      </c>
      <c r="L3" s="373" t="s">
        <v>236</v>
      </c>
      <c r="M3" s="375" t="s">
        <v>237</v>
      </c>
    </row>
    <row r="4" spans="2:20" x14ac:dyDescent="0.35">
      <c r="B4" s="71" t="s">
        <v>238</v>
      </c>
      <c r="C4" s="111" t="s">
        <v>239</v>
      </c>
      <c r="E4" s="377" t="s">
        <v>240</v>
      </c>
      <c r="F4" s="378"/>
      <c r="G4" s="108" t="e">
        <f>IF(J19=2,C3*(G3/360),"check %")</f>
        <v>#VALUE!</v>
      </c>
      <c r="H4" s="97"/>
      <c r="I4" s="371"/>
      <c r="J4" s="373"/>
      <c r="K4" s="375"/>
      <c r="L4" s="373"/>
      <c r="M4" s="375"/>
    </row>
    <row r="5" spans="2:20" ht="15" thickBot="1" x14ac:dyDescent="0.4">
      <c r="B5" s="58" t="s">
        <v>241</v>
      </c>
      <c r="C5" s="110">
        <f>VLOOKUP(C4,WACC!B3:D31,3,FALSE)</f>
        <v>0.13</v>
      </c>
      <c r="E5" s="379" t="s">
        <v>242</v>
      </c>
      <c r="F5" s="380"/>
      <c r="G5" s="109" t="e">
        <f>IF(J19=2,C5*C3*(G3/360),"check %")</f>
        <v>#VALUE!</v>
      </c>
      <c r="H5" s="97"/>
      <c r="I5" s="371"/>
      <c r="J5" s="373"/>
      <c r="K5" s="375"/>
      <c r="L5" s="373"/>
      <c r="M5" s="375"/>
    </row>
    <row r="6" spans="2:20" x14ac:dyDescent="0.35">
      <c r="I6" s="371"/>
      <c r="J6" s="373"/>
      <c r="K6" s="375"/>
      <c r="L6" s="373"/>
      <c r="M6" s="375"/>
    </row>
    <row r="7" spans="2:20" x14ac:dyDescent="0.35">
      <c r="B7" s="396" t="s">
        <v>243</v>
      </c>
      <c r="C7" s="396"/>
      <c r="D7" s="397" t="s">
        <v>244</v>
      </c>
      <c r="E7" s="397"/>
      <c r="F7" s="398" t="s">
        <v>245</v>
      </c>
      <c r="G7" s="398"/>
      <c r="I7" s="371"/>
      <c r="J7" s="373"/>
      <c r="K7" s="375"/>
      <c r="L7" s="373"/>
      <c r="M7" s="375"/>
      <c r="P7" s="381" t="s">
        <v>246</v>
      </c>
      <c r="Q7" s="382"/>
      <c r="R7" s="382"/>
      <c r="S7" s="382"/>
      <c r="T7" s="382"/>
    </row>
    <row r="8" spans="2:20" x14ac:dyDescent="0.35">
      <c r="B8" s="59" t="s">
        <v>247</v>
      </c>
      <c r="C8" s="59" t="s">
        <v>248</v>
      </c>
      <c r="D8" s="59" t="s">
        <v>249</v>
      </c>
      <c r="E8" s="59" t="s">
        <v>250</v>
      </c>
      <c r="F8" s="59" t="s">
        <v>249</v>
      </c>
      <c r="G8" s="59" t="s">
        <v>250</v>
      </c>
      <c r="I8" s="372"/>
      <c r="J8" s="374"/>
      <c r="K8" s="376"/>
      <c r="L8" s="374"/>
      <c r="M8" s="376"/>
      <c r="P8" s="382"/>
      <c r="Q8" s="382"/>
      <c r="R8" s="382"/>
      <c r="S8" s="382"/>
      <c r="T8" s="382"/>
    </row>
    <row r="9" spans="2:20" x14ac:dyDescent="0.35">
      <c r="B9" s="60" t="s">
        <v>251</v>
      </c>
      <c r="C9" s="61">
        <v>44713</v>
      </c>
      <c r="D9" s="62">
        <v>0.3</v>
      </c>
      <c r="E9" s="60">
        <v>10</v>
      </c>
      <c r="F9" s="62"/>
      <c r="G9" s="60"/>
      <c r="I9" s="63">
        <f>IF(C9="","",C9-$C$9)</f>
        <v>0</v>
      </c>
      <c r="J9" s="63">
        <f>IF(E9="","",$I9+E9)</f>
        <v>10</v>
      </c>
      <c r="K9" s="63" t="str">
        <f>IF(G9="","",$I9+G9)</f>
        <v/>
      </c>
      <c r="L9" s="63">
        <f>IF(J9="","",D9*J9)</f>
        <v>3</v>
      </c>
      <c r="M9" s="63" t="str">
        <f>IF(K9="","",F9*K9)</f>
        <v/>
      </c>
      <c r="N9" s="64"/>
      <c r="O9" s="64"/>
      <c r="P9" s="382"/>
      <c r="Q9" s="382"/>
      <c r="R9" s="382"/>
      <c r="S9" s="382"/>
      <c r="T9" s="382"/>
    </row>
    <row r="10" spans="2:20" x14ac:dyDescent="0.35">
      <c r="B10" s="60" t="s">
        <v>252</v>
      </c>
      <c r="C10" s="61">
        <v>44870</v>
      </c>
      <c r="D10" s="62">
        <v>0.6</v>
      </c>
      <c r="E10" s="60">
        <v>10</v>
      </c>
      <c r="F10" s="62">
        <v>0.5</v>
      </c>
      <c r="G10" s="60">
        <v>100</v>
      </c>
      <c r="I10" s="63">
        <f t="shared" ref="I10:I17" si="0">IF(C10="","",C10-$C$9)</f>
        <v>157</v>
      </c>
      <c r="J10" s="63">
        <f t="shared" ref="J10:J17" si="1">IF(E10="","",$I10+E10)</f>
        <v>167</v>
      </c>
      <c r="K10" s="63">
        <f t="shared" ref="K10:K17" si="2">IF(G10="","",$I10+G10)</f>
        <v>257</v>
      </c>
      <c r="L10" s="63">
        <f t="shared" ref="L10:L17" si="3">IF(J10="","",D10*J10)</f>
        <v>100.2</v>
      </c>
      <c r="M10" s="63">
        <f t="shared" ref="M10:M17" si="4">IF(K10="","",F10*K10)</f>
        <v>128.5</v>
      </c>
      <c r="N10" s="64"/>
      <c r="O10" s="64"/>
      <c r="P10" s="382"/>
      <c r="Q10" s="382"/>
      <c r="R10" s="382"/>
      <c r="S10" s="382"/>
      <c r="T10" s="382"/>
    </row>
    <row r="11" spans="2:20" x14ac:dyDescent="0.35">
      <c r="B11" s="60" t="s">
        <v>253</v>
      </c>
      <c r="C11" s="61">
        <v>44896</v>
      </c>
      <c r="D11" s="62">
        <v>0.1</v>
      </c>
      <c r="E11" s="60">
        <v>10</v>
      </c>
      <c r="F11" s="62"/>
      <c r="G11" s="60"/>
      <c r="I11" s="63">
        <f t="shared" si="0"/>
        <v>183</v>
      </c>
      <c r="J11" s="63">
        <f t="shared" si="1"/>
        <v>193</v>
      </c>
      <c r="K11" s="63" t="str">
        <f t="shared" si="2"/>
        <v/>
      </c>
      <c r="L11" s="63">
        <f t="shared" si="3"/>
        <v>19.3</v>
      </c>
      <c r="M11" s="63" t="str">
        <f t="shared" si="4"/>
        <v/>
      </c>
      <c r="N11" s="64"/>
      <c r="O11" s="64"/>
      <c r="P11" s="382"/>
      <c r="Q11" s="382"/>
      <c r="R11" s="382"/>
      <c r="S11" s="382"/>
      <c r="T11" s="382"/>
    </row>
    <row r="12" spans="2:20" x14ac:dyDescent="0.35">
      <c r="B12" s="60" t="s">
        <v>254</v>
      </c>
      <c r="C12" s="61"/>
      <c r="D12" s="62"/>
      <c r="E12" s="60"/>
      <c r="F12" s="62"/>
      <c r="G12" s="60"/>
      <c r="I12" s="63" t="str">
        <f t="shared" si="0"/>
        <v/>
      </c>
      <c r="J12" s="63" t="str">
        <f t="shared" si="1"/>
        <v/>
      </c>
      <c r="K12" s="63" t="str">
        <f t="shared" si="2"/>
        <v/>
      </c>
      <c r="L12" s="63" t="str">
        <f t="shared" si="3"/>
        <v/>
      </c>
      <c r="M12" s="63" t="str">
        <f t="shared" si="4"/>
        <v/>
      </c>
      <c r="N12" s="64"/>
      <c r="O12" s="64"/>
      <c r="P12" s="382"/>
      <c r="Q12" s="382"/>
      <c r="R12" s="382"/>
      <c r="S12" s="382"/>
      <c r="T12" s="382"/>
    </row>
    <row r="13" spans="2:20" x14ac:dyDescent="0.35">
      <c r="B13" s="60" t="s">
        <v>255</v>
      </c>
      <c r="C13" s="61">
        <v>44927</v>
      </c>
      <c r="D13" s="62"/>
      <c r="E13" s="60"/>
      <c r="F13" s="62">
        <v>0.5</v>
      </c>
      <c r="G13" s="60">
        <v>0</v>
      </c>
      <c r="I13" s="63">
        <f t="shared" si="0"/>
        <v>214</v>
      </c>
      <c r="J13" s="63" t="str">
        <f t="shared" si="1"/>
        <v/>
      </c>
      <c r="K13" s="63">
        <f t="shared" si="2"/>
        <v>214</v>
      </c>
      <c r="L13" s="63" t="str">
        <f t="shared" si="3"/>
        <v/>
      </c>
      <c r="M13" s="63">
        <f t="shared" si="4"/>
        <v>107</v>
      </c>
      <c r="N13" s="64"/>
      <c r="O13" s="64"/>
      <c r="P13" s="382"/>
      <c r="Q13" s="382"/>
      <c r="R13" s="382"/>
      <c r="S13" s="382"/>
      <c r="T13" s="382"/>
    </row>
    <row r="14" spans="2:20" x14ac:dyDescent="0.35">
      <c r="B14" s="60" t="s">
        <v>256</v>
      </c>
      <c r="C14" s="61"/>
      <c r="D14" s="62"/>
      <c r="E14" s="60"/>
      <c r="F14" s="62"/>
      <c r="G14" s="60"/>
      <c r="I14" s="63" t="str">
        <f t="shared" si="0"/>
        <v/>
      </c>
      <c r="J14" s="63" t="str">
        <f t="shared" si="1"/>
        <v/>
      </c>
      <c r="K14" s="63" t="str">
        <f t="shared" si="2"/>
        <v/>
      </c>
      <c r="L14" s="63" t="str">
        <f t="shared" si="3"/>
        <v/>
      </c>
      <c r="M14" s="63" t="str">
        <f t="shared" si="4"/>
        <v/>
      </c>
      <c r="N14" s="64"/>
      <c r="O14" s="64"/>
      <c r="P14" s="382"/>
      <c r="Q14" s="382"/>
      <c r="R14" s="382"/>
      <c r="S14" s="382"/>
      <c r="T14" s="382"/>
    </row>
    <row r="15" spans="2:20" x14ac:dyDescent="0.35">
      <c r="B15" s="60" t="s">
        <v>257</v>
      </c>
      <c r="C15" s="61"/>
      <c r="D15" s="62"/>
      <c r="E15" s="60"/>
      <c r="F15" s="62"/>
      <c r="G15" s="60"/>
      <c r="I15" s="63" t="str">
        <f t="shared" si="0"/>
        <v/>
      </c>
      <c r="J15" s="63" t="str">
        <f t="shared" si="1"/>
        <v/>
      </c>
      <c r="K15" s="63" t="str">
        <f t="shared" si="2"/>
        <v/>
      </c>
      <c r="L15" s="63" t="str">
        <f t="shared" si="3"/>
        <v/>
      </c>
      <c r="M15" s="63" t="str">
        <f t="shared" si="4"/>
        <v/>
      </c>
      <c r="N15" s="64"/>
      <c r="O15" s="64"/>
      <c r="P15" s="382"/>
      <c r="Q15" s="382"/>
      <c r="R15" s="382"/>
      <c r="S15" s="382"/>
      <c r="T15" s="382"/>
    </row>
    <row r="16" spans="2:20" x14ac:dyDescent="0.35">
      <c r="B16" s="60" t="s">
        <v>258</v>
      </c>
      <c r="C16" s="61"/>
      <c r="D16" s="62"/>
      <c r="E16" s="60"/>
      <c r="F16" s="62"/>
      <c r="G16" s="60"/>
      <c r="I16" s="63" t="str">
        <f t="shared" si="0"/>
        <v/>
      </c>
      <c r="J16" s="63" t="str">
        <f t="shared" si="1"/>
        <v/>
      </c>
      <c r="K16" s="63" t="str">
        <f t="shared" si="2"/>
        <v/>
      </c>
      <c r="L16" s="63" t="str">
        <f t="shared" si="3"/>
        <v/>
      </c>
      <c r="M16" s="63" t="str">
        <f t="shared" si="4"/>
        <v/>
      </c>
      <c r="N16" s="64"/>
      <c r="O16" s="64"/>
      <c r="P16" s="382"/>
      <c r="Q16" s="382"/>
      <c r="R16" s="382"/>
      <c r="S16" s="382"/>
      <c r="T16" s="382"/>
    </row>
    <row r="17" spans="2:20" x14ac:dyDescent="0.35">
      <c r="B17" s="60" t="s">
        <v>259</v>
      </c>
      <c r="C17" s="61"/>
      <c r="D17" s="62"/>
      <c r="E17" s="60"/>
      <c r="F17" s="62"/>
      <c r="G17" s="60"/>
      <c r="I17" s="63" t="str">
        <f t="shared" si="0"/>
        <v/>
      </c>
      <c r="J17" s="63" t="str">
        <f t="shared" si="1"/>
        <v/>
      </c>
      <c r="K17" s="63" t="str">
        <f t="shared" si="2"/>
        <v/>
      </c>
      <c r="L17" s="63" t="str">
        <f t="shared" si="3"/>
        <v/>
      </c>
      <c r="M17" s="63" t="str">
        <f t="shared" si="4"/>
        <v/>
      </c>
      <c r="N17" s="64"/>
      <c r="O17" s="64"/>
      <c r="P17" s="382"/>
      <c r="Q17" s="382"/>
      <c r="R17" s="382"/>
      <c r="S17" s="382"/>
      <c r="T17" s="382"/>
    </row>
    <row r="18" spans="2:20" x14ac:dyDescent="0.35">
      <c r="B18" s="57"/>
      <c r="C18" s="57"/>
      <c r="I18" s="57"/>
      <c r="J18" s="57"/>
    </row>
    <row r="19" spans="2:20" x14ac:dyDescent="0.35">
      <c r="B19" s="65" t="s">
        <v>260</v>
      </c>
      <c r="C19" s="66"/>
      <c r="D19" s="67">
        <f>SUM(D9:D17)</f>
        <v>0.99999999999999989</v>
      </c>
      <c r="E19" s="66"/>
      <c r="F19" s="67">
        <f>SUM(F9:F17)</f>
        <v>1</v>
      </c>
      <c r="G19" s="68"/>
      <c r="I19" s="64">
        <f>IF(D19=1,1,0)</f>
        <v>1</v>
      </c>
      <c r="J19" s="64">
        <f>I19+K19</f>
        <v>2</v>
      </c>
      <c r="K19" s="64">
        <f>IF(F19=1,1,0)</f>
        <v>1</v>
      </c>
      <c r="L19" s="64">
        <f>SUM(L9:L17)</f>
        <v>122.5</v>
      </c>
      <c r="M19" s="64">
        <f>SUM(M9:M17)</f>
        <v>235.5</v>
      </c>
      <c r="N19" s="69">
        <f>M19-L19</f>
        <v>113</v>
      </c>
      <c r="O19" s="64"/>
    </row>
    <row r="20" spans="2:20" x14ac:dyDescent="0.35">
      <c r="I20" s="383" t="s">
        <v>261</v>
      </c>
      <c r="J20" s="384" t="s">
        <v>262</v>
      </c>
      <c r="K20" s="385" t="s">
        <v>261</v>
      </c>
      <c r="L20" s="383" t="s">
        <v>263</v>
      </c>
      <c r="M20" s="385" t="s">
        <v>264</v>
      </c>
      <c r="N20" s="384" t="s">
        <v>265</v>
      </c>
    </row>
    <row r="21" spans="2:20" ht="21" customHeight="1" x14ac:dyDescent="0.35">
      <c r="B21" s="70" t="s">
        <v>266</v>
      </c>
      <c r="C21" s="386">
        <f>'1. MPBC'!D4</f>
        <v>0</v>
      </c>
      <c r="D21" s="386"/>
      <c r="E21" s="386"/>
      <c r="F21" s="386"/>
      <c r="G21" s="386"/>
      <c r="I21" s="383"/>
      <c r="J21" s="384"/>
      <c r="K21" s="385"/>
      <c r="L21" s="383"/>
      <c r="M21" s="385"/>
      <c r="N21" s="384"/>
    </row>
    <row r="22" spans="2:20" ht="21" customHeight="1" x14ac:dyDescent="0.35">
      <c r="B22" s="70" t="s">
        <v>267</v>
      </c>
      <c r="C22" s="386">
        <f>'1. MPBC'!G66</f>
        <v>0</v>
      </c>
      <c r="D22" s="386"/>
      <c r="E22" s="386"/>
      <c r="F22" s="386"/>
      <c r="G22" s="386"/>
      <c r="I22" s="383"/>
      <c r="J22" s="384"/>
      <c r="K22" s="385"/>
      <c r="L22" s="383"/>
      <c r="M22" s="385"/>
      <c r="N22" s="384"/>
    </row>
    <row r="23" spans="2:20" ht="21" customHeight="1" x14ac:dyDescent="0.35">
      <c r="B23" s="70" t="s">
        <v>268</v>
      </c>
      <c r="C23" s="386">
        <f>'1. MPBC'!K66</f>
        <v>0</v>
      </c>
      <c r="D23" s="386"/>
      <c r="E23" s="386"/>
      <c r="F23" s="386"/>
      <c r="G23" s="386"/>
      <c r="I23" s="383"/>
      <c r="J23" s="384"/>
      <c r="K23" s="385"/>
      <c r="L23" s="383"/>
      <c r="M23" s="385"/>
      <c r="N23" s="384"/>
    </row>
    <row r="24" spans="2:20" x14ac:dyDescent="0.35">
      <c r="I24" s="383"/>
      <c r="J24" s="384"/>
      <c r="K24" s="385"/>
      <c r="L24" s="383"/>
      <c r="M24" s="385"/>
      <c r="N24" s="384"/>
    </row>
    <row r="25" spans="2:20" ht="15" thickBot="1" x14ac:dyDescent="0.4">
      <c r="E25" s="57" t="s">
        <v>269</v>
      </c>
    </row>
    <row r="26" spans="2:20" x14ac:dyDescent="0.35">
      <c r="E26" s="387"/>
      <c r="F26" s="388"/>
      <c r="G26" s="389"/>
    </row>
    <row r="27" spans="2:20" x14ac:dyDescent="0.35">
      <c r="E27" s="390"/>
      <c r="F27" s="391"/>
      <c r="G27" s="392"/>
    </row>
    <row r="28" spans="2:20" x14ac:dyDescent="0.35">
      <c r="E28" s="390"/>
      <c r="F28" s="391"/>
      <c r="G28" s="392"/>
    </row>
    <row r="29" spans="2:20" ht="15" thickBot="1" x14ac:dyDescent="0.4">
      <c r="E29" s="393"/>
      <c r="F29" s="394"/>
      <c r="G29" s="395"/>
    </row>
  </sheetData>
  <sheetProtection selectLockedCells="1"/>
  <mergeCells count="23">
    <mergeCell ref="C21:G21"/>
    <mergeCell ref="C22:G22"/>
    <mergeCell ref="C23:G23"/>
    <mergeCell ref="E26:G29"/>
    <mergeCell ref="B7:C7"/>
    <mergeCell ref="D7:E7"/>
    <mergeCell ref="F7:G7"/>
    <mergeCell ref="P7:T17"/>
    <mergeCell ref="I20:I24"/>
    <mergeCell ref="J20:J24"/>
    <mergeCell ref="K20:K24"/>
    <mergeCell ref="L20:L24"/>
    <mergeCell ref="M20:M24"/>
    <mergeCell ref="N20:N24"/>
    <mergeCell ref="I1:N1"/>
    <mergeCell ref="E3:F3"/>
    <mergeCell ref="I3:I8"/>
    <mergeCell ref="J3:J8"/>
    <mergeCell ref="K3:K8"/>
    <mergeCell ref="L3:L8"/>
    <mergeCell ref="M3:M8"/>
    <mergeCell ref="E4:F4"/>
    <mergeCell ref="E5:F5"/>
  </mergeCells>
  <conditionalFormatting sqref="D19 F19">
    <cfRule type="cellIs" dxfId="47" priority="1" operator="notEqual">
      <formula>1</formula>
    </cfRule>
  </conditionalFormatting>
  <pageMargins left="0.70866141732283472" right="0.70866141732283472" top="0.78740157480314965" bottom="0.78740157480314965" header="0.31496062992125984" footer="0.31496062992125984"/>
  <pageSetup paperSize="9" scale="90" orientation="portrait" r:id="rId1"/>
  <headerFooter>
    <oddFooter>&amp;R&amp;D - &amp;T</oddFooter>
  </headerFooter>
  <ignoredErrors>
    <ignoredError sqref="C22:C23 C3 C5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600-000000000000}">
          <x14:formula1>
            <xm:f>WACC!$B$3:$B$31</xm:f>
          </x14:formula1>
          <xm:sqref>C4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2060"/>
  </sheetPr>
  <dimension ref="B2:F41"/>
  <sheetViews>
    <sheetView showGridLines="0" showRuler="0" zoomScaleNormal="100" workbookViewId="0">
      <pane ySplit="2" topLeftCell="A3" activePane="bottomLeft" state="frozen"/>
      <selection pane="bottomLeft" activeCell="D32" sqref="D32"/>
    </sheetView>
  </sheetViews>
  <sheetFormatPr defaultColWidth="9.1796875" defaultRowHeight="13" x14ac:dyDescent="0.3"/>
  <cols>
    <col min="1" max="1" width="2.81640625" style="14" customWidth="1"/>
    <col min="2" max="2" width="23.81640625" style="10" customWidth="1"/>
    <col min="3" max="3" width="11.81640625" style="15" customWidth="1"/>
    <col min="4" max="4" width="15.7265625" style="15" bestFit="1" customWidth="1"/>
    <col min="5" max="5" width="13.1796875" style="15" bestFit="1" customWidth="1"/>
    <col min="6" max="6" width="9.1796875" style="14" customWidth="1"/>
    <col min="7" max="16384" width="9.1796875" style="14"/>
  </cols>
  <sheetData>
    <row r="2" spans="2:6" ht="26.25" customHeight="1" x14ac:dyDescent="0.3">
      <c r="B2" s="9" t="s">
        <v>270</v>
      </c>
      <c r="C2" s="9" t="s">
        <v>271</v>
      </c>
      <c r="D2" s="9" t="s">
        <v>272</v>
      </c>
      <c r="E2" s="9" t="s">
        <v>273</v>
      </c>
    </row>
    <row r="3" spans="2:6" ht="16.5" customHeight="1" x14ac:dyDescent="0.3">
      <c r="B3" s="11" t="s">
        <v>274</v>
      </c>
      <c r="C3" s="16" t="s">
        <v>144</v>
      </c>
      <c r="D3" s="104">
        <v>1</v>
      </c>
      <c r="E3" s="17">
        <f t="shared" ref="E3:E30" si="0">1/D3</f>
        <v>1</v>
      </c>
      <c r="F3" s="14">
        <v>1</v>
      </c>
    </row>
    <row r="4" spans="2:6" ht="16.5" customHeight="1" x14ac:dyDescent="0.3">
      <c r="B4" s="11" t="s">
        <v>275</v>
      </c>
      <c r="C4" s="16" t="s">
        <v>147</v>
      </c>
      <c r="D4" s="16">
        <v>1.16153</v>
      </c>
      <c r="E4" s="17">
        <f t="shared" si="0"/>
        <v>0.86093342401832074</v>
      </c>
      <c r="F4" s="14">
        <v>2</v>
      </c>
    </row>
    <row r="5" spans="2:6" ht="16.5" customHeight="1" x14ac:dyDescent="0.3">
      <c r="B5" s="11" t="s">
        <v>276</v>
      </c>
      <c r="C5" s="16" t="s">
        <v>146</v>
      </c>
      <c r="D5" s="16">
        <v>101.82595999999999</v>
      </c>
      <c r="E5" s="17">
        <f t="shared" si="0"/>
        <v>9.8206783417509654E-3</v>
      </c>
      <c r="F5" s="14">
        <v>3</v>
      </c>
    </row>
    <row r="6" spans="2:6" ht="16.5" customHeight="1" x14ac:dyDescent="0.3">
      <c r="B6" s="11" t="s">
        <v>277</v>
      </c>
      <c r="C6" s="16" t="s">
        <v>278</v>
      </c>
      <c r="D6" s="16">
        <v>4.2657400000000001</v>
      </c>
      <c r="E6" s="17">
        <f t="shared" si="0"/>
        <v>0.23442591437827903</v>
      </c>
      <c r="F6" s="14">
        <v>4</v>
      </c>
    </row>
    <row r="7" spans="2:6" ht="16.5" customHeight="1" x14ac:dyDescent="0.3">
      <c r="B7" s="11" t="s">
        <v>279</v>
      </c>
      <c r="C7" s="16" t="s">
        <v>280</v>
      </c>
      <c r="D7" s="16">
        <v>8.3493499999999994</v>
      </c>
      <c r="E7" s="17">
        <f t="shared" si="0"/>
        <v>0.11976980243971089</v>
      </c>
      <c r="F7" s="14">
        <v>5</v>
      </c>
    </row>
    <row r="8" spans="2:6" ht="16.5" customHeight="1" x14ac:dyDescent="0.3">
      <c r="B8" s="11" t="s">
        <v>281</v>
      </c>
      <c r="C8" s="16" t="s">
        <v>282</v>
      </c>
      <c r="D8" s="16">
        <v>172.25901999999999</v>
      </c>
      <c r="E8" s="17">
        <f t="shared" si="0"/>
        <v>5.8052112452514825E-3</v>
      </c>
      <c r="F8" s="14">
        <v>6</v>
      </c>
    </row>
    <row r="9" spans="2:6" ht="16.5" customHeight="1" x14ac:dyDescent="0.3">
      <c r="B9" s="11" t="s">
        <v>283</v>
      </c>
      <c r="C9" s="16" t="s">
        <v>284</v>
      </c>
      <c r="D9" s="105">
        <v>1534.6903299999999</v>
      </c>
      <c r="E9" s="17">
        <f t="shared" si="0"/>
        <v>6.5159725089295384E-4</v>
      </c>
      <c r="F9" s="14">
        <v>7</v>
      </c>
    </row>
    <row r="10" spans="2:6" ht="16.5" customHeight="1" x14ac:dyDescent="0.3">
      <c r="B10" s="11" t="s">
        <v>285</v>
      </c>
      <c r="C10" s="16" t="s">
        <v>286</v>
      </c>
      <c r="D10" s="16">
        <v>1.78182</v>
      </c>
      <c r="E10" s="17">
        <f t="shared" si="0"/>
        <v>0.56122391711845199</v>
      </c>
      <c r="F10" s="14">
        <v>8</v>
      </c>
    </row>
    <row r="11" spans="2:6" ht="16.5" customHeight="1" x14ac:dyDescent="0.3">
      <c r="B11" s="11" t="s">
        <v>287</v>
      </c>
      <c r="C11" s="16" t="s">
        <v>288</v>
      </c>
      <c r="D11" s="16">
        <v>6.3216599999999996</v>
      </c>
      <c r="E11" s="17">
        <f t="shared" si="0"/>
        <v>0.15818629916825644</v>
      </c>
      <c r="F11" s="14">
        <v>9</v>
      </c>
    </row>
    <row r="12" spans="2:6" ht="16.5" customHeight="1" x14ac:dyDescent="0.3">
      <c r="B12" s="11" t="s">
        <v>289</v>
      </c>
      <c r="C12" s="16" t="s">
        <v>290</v>
      </c>
      <c r="D12" s="16">
        <v>0.94316</v>
      </c>
      <c r="E12" s="17">
        <f t="shared" si="0"/>
        <v>1.0602654904788158</v>
      </c>
      <c r="F12" s="14">
        <v>10</v>
      </c>
    </row>
    <row r="13" spans="2:6" ht="16.5" customHeight="1" x14ac:dyDescent="0.3">
      <c r="B13" s="11" t="s">
        <v>279</v>
      </c>
      <c r="C13" s="16" t="s">
        <v>280</v>
      </c>
      <c r="D13" s="16">
        <v>8.3493499999999994</v>
      </c>
      <c r="E13" s="17">
        <f t="shared" si="0"/>
        <v>0.11976980243971089</v>
      </c>
      <c r="F13" s="14">
        <v>11</v>
      </c>
    </row>
    <row r="14" spans="2:6" ht="16.5" customHeight="1" x14ac:dyDescent="0.3">
      <c r="B14" s="11" t="s">
        <v>291</v>
      </c>
      <c r="C14" s="16" t="s">
        <v>292</v>
      </c>
      <c r="D14" s="16">
        <v>0.86475999999999997</v>
      </c>
      <c r="E14" s="17">
        <f t="shared" si="0"/>
        <v>1.156390212313243</v>
      </c>
      <c r="F14" s="14">
        <v>12</v>
      </c>
    </row>
    <row r="15" spans="2:6" ht="16.5" customHeight="1" x14ac:dyDescent="0.3">
      <c r="B15" s="11" t="s">
        <v>293</v>
      </c>
      <c r="C15" s="16" t="s">
        <v>294</v>
      </c>
      <c r="D15" s="16">
        <v>9.1178600000000003</v>
      </c>
      <c r="E15" s="17">
        <f t="shared" si="0"/>
        <v>0.10967485791622157</v>
      </c>
      <c r="F15" s="14">
        <v>13</v>
      </c>
    </row>
    <row r="16" spans="2:6" ht="16.5" customHeight="1" x14ac:dyDescent="0.3">
      <c r="B16" s="11" t="s">
        <v>295</v>
      </c>
      <c r="C16" s="16" t="s">
        <v>296</v>
      </c>
      <c r="D16" s="105">
        <v>18940.441650000001</v>
      </c>
      <c r="E16" s="17">
        <f t="shared" si="0"/>
        <v>5.2797079312033886E-5</v>
      </c>
      <c r="F16" s="14">
        <v>14</v>
      </c>
    </row>
    <row r="17" spans="2:6" ht="16.5" customHeight="1" x14ac:dyDescent="0.3">
      <c r="B17" s="11" t="s">
        <v>297</v>
      </c>
      <c r="C17" s="16" t="s">
        <v>298</v>
      </c>
      <c r="D17" s="105">
        <v>1045.3803700000001</v>
      </c>
      <c r="E17" s="17">
        <f t="shared" si="0"/>
        <v>9.565896095791429E-4</v>
      </c>
      <c r="F17" s="14">
        <v>15</v>
      </c>
    </row>
    <row r="18" spans="2:6" ht="16.5" customHeight="1" x14ac:dyDescent="0.3">
      <c r="B18" s="11" t="s">
        <v>299</v>
      </c>
      <c r="C18" s="16" t="s">
        <v>300</v>
      </c>
      <c r="D18" s="105">
        <v>1615.38076</v>
      </c>
      <c r="E18" s="17">
        <f t="shared" si="0"/>
        <v>6.1904909651146276E-4</v>
      </c>
      <c r="F18" s="14">
        <v>16</v>
      </c>
    </row>
    <row r="19" spans="2:6" ht="16.5" customHeight="1" x14ac:dyDescent="0.3">
      <c r="B19" s="11" t="s">
        <v>301</v>
      </c>
      <c r="C19" s="16" t="s">
        <v>302</v>
      </c>
      <c r="D19" s="16">
        <v>21.687709999999999</v>
      </c>
      <c r="E19" s="17">
        <f t="shared" si="0"/>
        <v>4.6109063612525251E-2</v>
      </c>
      <c r="F19" s="14">
        <v>17</v>
      </c>
    </row>
    <row r="20" spans="2:6" ht="16.5" customHeight="1" x14ac:dyDescent="0.3">
      <c r="B20" s="11" t="s">
        <v>303</v>
      </c>
      <c r="C20" s="16" t="s">
        <v>304</v>
      </c>
      <c r="D20" s="16">
        <v>1.9549399999999999</v>
      </c>
      <c r="E20" s="17">
        <f t="shared" si="0"/>
        <v>0.51152465037290151</v>
      </c>
      <c r="F20" s="14">
        <v>18</v>
      </c>
    </row>
    <row r="21" spans="2:6" ht="16.5" customHeight="1" x14ac:dyDescent="0.3">
      <c r="B21" s="11" t="s">
        <v>305</v>
      </c>
      <c r="C21" s="16" t="s">
        <v>306</v>
      </c>
      <c r="D21" s="16">
        <v>92.342749999999995</v>
      </c>
      <c r="E21" s="17">
        <f t="shared" si="0"/>
        <v>1.0829220485636393E-2</v>
      </c>
      <c r="F21" s="14">
        <v>19</v>
      </c>
    </row>
    <row r="22" spans="2:6" ht="16.5" customHeight="1" x14ac:dyDescent="0.3">
      <c r="B22" s="11" t="s">
        <v>307</v>
      </c>
      <c r="C22" s="16" t="s">
        <v>308</v>
      </c>
      <c r="D22" s="16">
        <v>1.49444</v>
      </c>
      <c r="E22" s="17">
        <f t="shared" si="0"/>
        <v>0.66914697144080726</v>
      </c>
      <c r="F22" s="14">
        <v>20</v>
      </c>
    </row>
    <row r="23" spans="2:6" ht="16.5" customHeight="1" x14ac:dyDescent="0.3">
      <c r="B23" s="11" t="s">
        <v>309</v>
      </c>
      <c r="C23" s="16" t="s">
        <v>310</v>
      </c>
      <c r="D23" s="16">
        <v>20.62067</v>
      </c>
      <c r="E23" s="17">
        <f t="shared" si="0"/>
        <v>4.8495029501951198E-2</v>
      </c>
      <c r="F23" s="14">
        <v>21</v>
      </c>
    </row>
    <row r="24" spans="2:6" ht="16.5" customHeight="1" x14ac:dyDescent="0.3">
      <c r="B24" s="11" t="s">
        <v>311</v>
      </c>
      <c r="C24" s="16" t="s">
        <v>312</v>
      </c>
      <c r="D24" s="16">
        <v>4.2567899999999996</v>
      </c>
      <c r="E24" s="17">
        <f t="shared" si="0"/>
        <v>0.23491880031667056</v>
      </c>
      <c r="F24" s="14">
        <v>22</v>
      </c>
    </row>
    <row r="25" spans="2:6" ht="16.5" customHeight="1" x14ac:dyDescent="0.3">
      <c r="B25" s="11" t="s">
        <v>313</v>
      </c>
      <c r="C25" s="16" t="s">
        <v>314</v>
      </c>
      <c r="D25" s="16">
        <v>395.65111000000002</v>
      </c>
      <c r="E25" s="17">
        <f t="shared" si="0"/>
        <v>2.5274793238922039E-3</v>
      </c>
      <c r="F25" s="14">
        <v>23</v>
      </c>
    </row>
    <row r="26" spans="2:6" ht="16.5" customHeight="1" x14ac:dyDescent="0.3">
      <c r="B26" s="11" t="s">
        <v>315</v>
      </c>
      <c r="C26" s="16" t="s">
        <v>316</v>
      </c>
      <c r="D26" s="16">
        <v>37.698689999999999</v>
      </c>
      <c r="E26" s="17">
        <f t="shared" si="0"/>
        <v>2.652612066891449E-2</v>
      </c>
      <c r="F26" s="14">
        <v>24</v>
      </c>
    </row>
    <row r="27" spans="2:6" ht="16.5" customHeight="1" x14ac:dyDescent="0.3">
      <c r="B27" s="11" t="s">
        <v>317</v>
      </c>
      <c r="C27" s="16" t="s">
        <v>318</v>
      </c>
      <c r="D27" s="17">
        <v>35.654499999999999</v>
      </c>
      <c r="E27" s="17">
        <f t="shared" si="0"/>
        <v>2.8046950595296528E-2</v>
      </c>
      <c r="F27" s="14">
        <v>25</v>
      </c>
    </row>
    <row r="28" spans="2:6" ht="16.5" customHeight="1" x14ac:dyDescent="0.3">
      <c r="B28" s="11" t="s">
        <v>319</v>
      </c>
      <c r="C28" s="16" t="s">
        <v>320</v>
      </c>
      <c r="D28" s="17">
        <v>117.18</v>
      </c>
      <c r="E28" s="17">
        <f t="shared" si="0"/>
        <v>8.5338795016214365E-3</v>
      </c>
      <c r="F28" s="14">
        <v>26</v>
      </c>
    </row>
    <row r="29" spans="2:6" ht="16.5" customHeight="1" x14ac:dyDescent="0.3">
      <c r="B29" s="11" t="s">
        <v>321</v>
      </c>
      <c r="C29" s="16" t="s">
        <v>322</v>
      </c>
      <c r="D29" s="17">
        <v>10.597899999999999</v>
      </c>
      <c r="E29" s="17">
        <f t="shared" si="0"/>
        <v>9.4358316270204481E-2</v>
      </c>
      <c r="F29" s="14">
        <v>27</v>
      </c>
    </row>
    <row r="30" spans="2:6" ht="16.5" customHeight="1" x14ac:dyDescent="0.3">
      <c r="B30" s="11" t="s">
        <v>482</v>
      </c>
      <c r="C30" s="16" t="s">
        <v>476</v>
      </c>
      <c r="D30" s="17">
        <v>24.318899999999999</v>
      </c>
      <c r="E30" s="17">
        <f t="shared" si="0"/>
        <v>4.1120280933759343E-2</v>
      </c>
      <c r="F30" s="14">
        <v>28</v>
      </c>
    </row>
    <row r="31" spans="2:6" ht="16.5" customHeight="1" x14ac:dyDescent="0.3">
      <c r="B31" s="11"/>
      <c r="C31" s="16"/>
      <c r="D31" s="17"/>
      <c r="E31" s="17"/>
      <c r="F31" s="14">
        <v>29</v>
      </c>
    </row>
    <row r="32" spans="2:6" ht="16.5" customHeight="1" x14ac:dyDescent="0.3">
      <c r="B32" s="11"/>
      <c r="C32" s="16"/>
      <c r="D32" s="17"/>
      <c r="E32" s="17"/>
      <c r="F32" s="14">
        <v>30</v>
      </c>
    </row>
    <row r="33" spans="2:6" ht="16.5" customHeight="1" x14ac:dyDescent="0.3">
      <c r="B33" s="11"/>
      <c r="C33" s="16"/>
      <c r="D33" s="17"/>
      <c r="E33" s="17"/>
      <c r="F33" s="14">
        <v>31</v>
      </c>
    </row>
    <row r="34" spans="2:6" ht="16.5" customHeight="1" x14ac:dyDescent="0.3">
      <c r="B34" s="11"/>
      <c r="C34" s="16"/>
      <c r="D34" s="17"/>
      <c r="E34" s="17"/>
      <c r="F34" s="14">
        <v>32</v>
      </c>
    </row>
    <row r="35" spans="2:6" ht="16.5" customHeight="1" x14ac:dyDescent="0.3">
      <c r="B35" s="11"/>
      <c r="C35" s="16"/>
      <c r="D35" s="17"/>
      <c r="E35" s="17"/>
      <c r="F35" s="14">
        <v>33</v>
      </c>
    </row>
    <row r="36" spans="2:6" ht="16.5" customHeight="1" x14ac:dyDescent="0.3">
      <c r="C36" s="219" t="s">
        <v>484</v>
      </c>
    </row>
    <row r="37" spans="2:6" ht="16.5" customHeight="1" x14ac:dyDescent="0.3">
      <c r="B37" s="73"/>
      <c r="C37" s="74"/>
    </row>
    <row r="38" spans="2:6" ht="16.5" customHeight="1" x14ac:dyDescent="0.3">
      <c r="B38" s="73" t="s">
        <v>323</v>
      </c>
      <c r="C38" s="75">
        <v>45881</v>
      </c>
    </row>
    <row r="40" spans="2:6" ht="14.5" x14ac:dyDescent="0.3">
      <c r="B40" s="72" t="s">
        <v>324</v>
      </c>
    </row>
    <row r="41" spans="2:6" ht="14.5" x14ac:dyDescent="0.3">
      <c r="B41" s="72" t="s">
        <v>325</v>
      </c>
    </row>
  </sheetData>
  <hyperlinks>
    <hyperlink ref="B40" r:id="rId1" xr:uid="{00000000-0004-0000-0900-000000000000}"/>
    <hyperlink ref="B41" r:id="rId2" xr:uid="{00000000-0004-0000-0900-000001000000}"/>
  </hyperlinks>
  <pageMargins left="0.7" right="0.7" top="0.75" bottom="0.75" header="0.3" footer="0.3"/>
  <pageSetup orientation="portrait" r:id="rId3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1:I38"/>
  <sheetViews>
    <sheetView showGridLines="0" zoomScale="90" zoomScaleNormal="90" workbookViewId="0">
      <selection activeCell="G20" sqref="G20"/>
    </sheetView>
  </sheetViews>
  <sheetFormatPr defaultColWidth="9.1796875" defaultRowHeight="14.5" x14ac:dyDescent="0.35"/>
  <cols>
    <col min="1" max="1" width="3.1796875" customWidth="1"/>
    <col min="2" max="2" width="30.7265625" customWidth="1"/>
    <col min="3" max="3" width="12" customWidth="1"/>
    <col min="4" max="4" width="62.1796875" customWidth="1"/>
    <col min="5" max="5" width="47.453125" customWidth="1"/>
    <col min="6" max="7" width="9.1796875" style="57"/>
    <col min="8" max="8" width="15.54296875" customWidth="1"/>
    <col min="9" max="9" width="70.26953125" bestFit="1" customWidth="1"/>
  </cols>
  <sheetData>
    <row r="1" spans="2:9" ht="15" thickBot="1" x14ac:dyDescent="0.4"/>
    <row r="2" spans="2:9" ht="21" x14ac:dyDescent="0.4">
      <c r="B2" s="402" t="s">
        <v>326</v>
      </c>
      <c r="C2" s="402"/>
      <c r="D2" s="402"/>
      <c r="F2" s="399" t="s">
        <v>327</v>
      </c>
      <c r="G2" s="400"/>
      <c r="H2" s="400"/>
      <c r="I2" s="401"/>
    </row>
    <row r="3" spans="2:9" ht="18" x14ac:dyDescent="0.4">
      <c r="B3" s="402"/>
      <c r="C3" s="402"/>
      <c r="D3" s="19"/>
      <c r="F3" s="403" t="s">
        <v>328</v>
      </c>
      <c r="G3" s="404"/>
      <c r="H3" s="20" t="s">
        <v>0</v>
      </c>
      <c r="I3" s="21" t="s">
        <v>329</v>
      </c>
    </row>
    <row r="4" spans="2:9" x14ac:dyDescent="0.35">
      <c r="B4" s="405" t="s">
        <v>330</v>
      </c>
      <c r="C4" s="405"/>
      <c r="D4" s="405"/>
      <c r="F4" s="22">
        <v>1</v>
      </c>
      <c r="G4" s="23">
        <v>10</v>
      </c>
      <c r="H4" s="24" t="s">
        <v>331</v>
      </c>
      <c r="I4" s="25" t="s">
        <v>332</v>
      </c>
    </row>
    <row r="5" spans="2:9" ht="29.5" thickBot="1" x14ac:dyDescent="0.4">
      <c r="B5" s="406"/>
      <c r="C5" s="406"/>
      <c r="D5" s="406"/>
      <c r="F5" s="26">
        <v>11</v>
      </c>
      <c r="G5" s="27">
        <v>16</v>
      </c>
      <c r="H5" s="28" t="s">
        <v>333</v>
      </c>
      <c r="I5" s="29" t="s">
        <v>334</v>
      </c>
    </row>
    <row r="6" spans="2:9" ht="29.5" thickBot="1" x14ac:dyDescent="0.4">
      <c r="B6" s="30"/>
      <c r="C6" s="31" t="s">
        <v>335</v>
      </c>
      <c r="D6" s="32">
        <f>SUM(C13+C19+C25+C31+C37)</f>
        <v>0</v>
      </c>
      <c r="F6" s="33">
        <v>17</v>
      </c>
      <c r="G6" s="34">
        <v>20</v>
      </c>
      <c r="H6" s="35" t="s">
        <v>336</v>
      </c>
      <c r="I6" s="29" t="s">
        <v>337</v>
      </c>
    </row>
    <row r="7" spans="2:9" ht="15" thickBot="1" x14ac:dyDescent="0.4">
      <c r="B7" s="36" t="s">
        <v>338</v>
      </c>
      <c r="C7" s="37" t="s">
        <v>339</v>
      </c>
      <c r="D7" s="38" t="s">
        <v>340</v>
      </c>
      <c r="E7" s="39" t="s">
        <v>329</v>
      </c>
      <c r="F7" s="40">
        <v>21</v>
      </c>
      <c r="G7" s="41">
        <v>50</v>
      </c>
      <c r="H7" s="42" t="s">
        <v>341</v>
      </c>
      <c r="I7" s="29" t="s">
        <v>342</v>
      </c>
    </row>
    <row r="8" spans="2:9" s="45" customFormat="1" x14ac:dyDescent="0.35">
      <c r="B8" s="407" t="s">
        <v>343</v>
      </c>
      <c r="C8" s="43">
        <v>1</v>
      </c>
      <c r="D8" s="98" t="s">
        <v>344</v>
      </c>
      <c r="E8" s="44"/>
    </row>
    <row r="9" spans="2:9" s="45" customFormat="1" x14ac:dyDescent="0.35">
      <c r="B9" s="407"/>
      <c r="C9" s="46">
        <v>2</v>
      </c>
      <c r="D9" s="99" t="s">
        <v>345</v>
      </c>
      <c r="E9" s="47"/>
    </row>
    <row r="10" spans="2:9" s="45" customFormat="1" x14ac:dyDescent="0.35">
      <c r="B10" s="407"/>
      <c r="C10" s="46">
        <v>3</v>
      </c>
      <c r="D10" s="99" t="s">
        <v>346</v>
      </c>
      <c r="E10" s="47"/>
    </row>
    <row r="11" spans="2:9" s="45" customFormat="1" ht="25" x14ac:dyDescent="0.35">
      <c r="B11" s="407"/>
      <c r="C11" s="46">
        <v>4</v>
      </c>
      <c r="D11" s="99" t="s">
        <v>347</v>
      </c>
      <c r="E11" s="47"/>
    </row>
    <row r="12" spans="2:9" s="45" customFormat="1" ht="15" thickBot="1" x14ac:dyDescent="0.4">
      <c r="B12" s="407"/>
      <c r="C12" s="48">
        <v>5</v>
      </c>
      <c r="D12" s="100" t="s">
        <v>348</v>
      </c>
      <c r="E12" s="49"/>
    </row>
    <row r="13" spans="2:9" s="45" customFormat="1" ht="15" thickBot="1" x14ac:dyDescent="0.4">
      <c r="B13" s="408"/>
      <c r="C13" s="50"/>
      <c r="D13" s="101" t="s">
        <v>335</v>
      </c>
      <c r="E13" s="51"/>
    </row>
    <row r="14" spans="2:9" s="45" customFormat="1" x14ac:dyDescent="0.35">
      <c r="B14" s="409" t="s">
        <v>349</v>
      </c>
      <c r="C14" s="52">
        <v>1</v>
      </c>
      <c r="D14" s="102" t="s">
        <v>350</v>
      </c>
      <c r="E14" s="53"/>
      <c r="F14" s="54"/>
      <c r="G14" s="54"/>
    </row>
    <row r="15" spans="2:9" s="45" customFormat="1" x14ac:dyDescent="0.35">
      <c r="B15" s="410"/>
      <c r="C15" s="46">
        <v>2</v>
      </c>
      <c r="D15" s="99" t="s">
        <v>351</v>
      </c>
      <c r="E15" s="47"/>
      <c r="F15" s="54"/>
      <c r="G15" s="54"/>
    </row>
    <row r="16" spans="2:9" s="45" customFormat="1" ht="25" x14ac:dyDescent="0.35">
      <c r="B16" s="410"/>
      <c r="C16" s="46">
        <v>3</v>
      </c>
      <c r="D16" s="99" t="s">
        <v>352</v>
      </c>
      <c r="E16" s="47"/>
      <c r="F16" s="54"/>
      <c r="G16" s="54"/>
    </row>
    <row r="17" spans="2:7" s="45" customFormat="1" x14ac:dyDescent="0.35">
      <c r="B17" s="410"/>
      <c r="C17" s="46">
        <v>4</v>
      </c>
      <c r="D17" s="99" t="s">
        <v>353</v>
      </c>
      <c r="E17" s="47"/>
      <c r="F17" s="54"/>
      <c r="G17" s="54"/>
    </row>
    <row r="18" spans="2:7" s="45" customFormat="1" ht="30" customHeight="1" thickBot="1" x14ac:dyDescent="0.4">
      <c r="B18" s="410"/>
      <c r="C18" s="48">
        <v>5</v>
      </c>
      <c r="D18" s="100" t="s">
        <v>354</v>
      </c>
      <c r="E18" s="49"/>
      <c r="F18" s="54"/>
      <c r="G18" s="54"/>
    </row>
    <row r="19" spans="2:7" s="45" customFormat="1" ht="15" thickBot="1" x14ac:dyDescent="0.4">
      <c r="B19" s="411"/>
      <c r="C19" s="50"/>
      <c r="D19" s="101" t="s">
        <v>335</v>
      </c>
      <c r="E19" s="51"/>
      <c r="F19" s="54"/>
      <c r="G19" s="54"/>
    </row>
    <row r="20" spans="2:7" s="45" customFormat="1" x14ac:dyDescent="0.35">
      <c r="B20" s="409" t="s">
        <v>355</v>
      </c>
      <c r="C20" s="52">
        <v>1</v>
      </c>
      <c r="D20" s="102" t="s">
        <v>356</v>
      </c>
      <c r="E20" s="53"/>
      <c r="F20" s="54"/>
      <c r="G20" s="54"/>
    </row>
    <row r="21" spans="2:7" s="45" customFormat="1" ht="15" thickBot="1" x14ac:dyDescent="0.4">
      <c r="B21" s="410"/>
      <c r="C21" s="46">
        <v>2</v>
      </c>
      <c r="D21" s="99" t="s">
        <v>357</v>
      </c>
      <c r="E21" s="47"/>
      <c r="F21" s="54"/>
      <c r="G21" s="54"/>
    </row>
    <row r="22" spans="2:7" s="45" customFormat="1" x14ac:dyDescent="0.35">
      <c r="B22" s="410"/>
      <c r="C22" s="46">
        <v>3</v>
      </c>
      <c r="D22" s="99" t="s">
        <v>358</v>
      </c>
      <c r="E22" s="53"/>
      <c r="F22" s="54"/>
      <c r="G22" s="54"/>
    </row>
    <row r="23" spans="2:7" s="45" customFormat="1" ht="26" x14ac:dyDescent="0.35">
      <c r="B23" s="410"/>
      <c r="C23" s="46">
        <v>4</v>
      </c>
      <c r="D23" s="99" t="s">
        <v>359</v>
      </c>
      <c r="E23" s="47"/>
      <c r="F23" s="54"/>
      <c r="G23" s="54"/>
    </row>
    <row r="24" spans="2:7" s="45" customFormat="1" ht="26.5" thickBot="1" x14ac:dyDescent="0.4">
      <c r="B24" s="410"/>
      <c r="C24" s="48">
        <v>5</v>
      </c>
      <c r="D24" s="99" t="s">
        <v>360</v>
      </c>
      <c r="E24" s="49"/>
      <c r="F24" s="54"/>
      <c r="G24" s="54"/>
    </row>
    <row r="25" spans="2:7" s="45" customFormat="1" ht="15" thickBot="1" x14ac:dyDescent="0.4">
      <c r="B25" s="411"/>
      <c r="C25" s="50"/>
      <c r="D25" s="101" t="s">
        <v>335</v>
      </c>
      <c r="E25" s="51"/>
      <c r="F25" s="54"/>
      <c r="G25" s="54"/>
    </row>
    <row r="26" spans="2:7" s="45" customFormat="1" x14ac:dyDescent="0.35">
      <c r="B26" s="409" t="s">
        <v>361</v>
      </c>
      <c r="C26" s="52">
        <v>1</v>
      </c>
      <c r="D26" s="102" t="s">
        <v>362</v>
      </c>
      <c r="E26" s="53"/>
      <c r="F26" s="54"/>
      <c r="G26" s="54"/>
    </row>
    <row r="27" spans="2:7" s="45" customFormat="1" x14ac:dyDescent="0.35">
      <c r="B27" s="410"/>
      <c r="C27" s="46">
        <v>2</v>
      </c>
      <c r="D27" s="99" t="s">
        <v>363</v>
      </c>
      <c r="E27" s="47"/>
      <c r="F27" s="54"/>
      <c r="G27" s="54"/>
    </row>
    <row r="28" spans="2:7" s="45" customFormat="1" x14ac:dyDescent="0.35">
      <c r="B28" s="410"/>
      <c r="C28" s="46">
        <v>3</v>
      </c>
      <c r="D28" s="99" t="s">
        <v>364</v>
      </c>
      <c r="E28" s="47"/>
      <c r="F28" s="54"/>
      <c r="G28" s="54"/>
    </row>
    <row r="29" spans="2:7" s="45" customFormat="1" x14ac:dyDescent="0.35">
      <c r="B29" s="410"/>
      <c r="C29" s="46">
        <v>4</v>
      </c>
      <c r="D29" s="99" t="s">
        <v>365</v>
      </c>
      <c r="E29" s="47"/>
      <c r="F29" s="54"/>
      <c r="G29" s="54"/>
    </row>
    <row r="30" spans="2:7" s="45" customFormat="1" ht="15" thickBot="1" x14ac:dyDescent="0.4">
      <c r="B30" s="410"/>
      <c r="C30" s="48">
        <v>5</v>
      </c>
      <c r="D30" s="100" t="s">
        <v>366</v>
      </c>
      <c r="E30" s="49"/>
      <c r="F30" s="54"/>
      <c r="G30" s="54"/>
    </row>
    <row r="31" spans="2:7" s="45" customFormat="1" ht="15" thickBot="1" x14ac:dyDescent="0.4">
      <c r="B31" s="411"/>
      <c r="C31" s="50"/>
      <c r="D31" s="101" t="s">
        <v>335</v>
      </c>
      <c r="E31" s="51"/>
      <c r="F31" s="54"/>
      <c r="G31" s="54"/>
    </row>
    <row r="32" spans="2:7" s="45" customFormat="1" x14ac:dyDescent="0.35">
      <c r="B32" s="409" t="s">
        <v>367</v>
      </c>
      <c r="C32" s="52">
        <v>1</v>
      </c>
      <c r="D32" s="102" t="s">
        <v>368</v>
      </c>
      <c r="E32" s="53"/>
      <c r="F32" s="54"/>
      <c r="G32" s="54"/>
    </row>
    <row r="33" spans="2:7" s="45" customFormat="1" x14ac:dyDescent="0.35">
      <c r="B33" s="410"/>
      <c r="C33" s="46">
        <v>2</v>
      </c>
      <c r="D33" s="99" t="s">
        <v>369</v>
      </c>
      <c r="E33" s="47" t="s">
        <v>370</v>
      </c>
      <c r="F33" s="54"/>
      <c r="G33" s="54"/>
    </row>
    <row r="34" spans="2:7" s="45" customFormat="1" x14ac:dyDescent="0.35">
      <c r="B34" s="410"/>
      <c r="C34" s="46">
        <v>3</v>
      </c>
      <c r="D34" s="99" t="s">
        <v>371</v>
      </c>
      <c r="E34" s="47"/>
      <c r="F34" s="54"/>
      <c r="G34" s="54"/>
    </row>
    <row r="35" spans="2:7" s="45" customFormat="1" x14ac:dyDescent="0.35">
      <c r="B35" s="410"/>
      <c r="C35" s="46">
        <v>4</v>
      </c>
      <c r="D35" s="99" t="s">
        <v>372</v>
      </c>
      <c r="E35" s="47"/>
      <c r="F35" s="54"/>
      <c r="G35" s="54"/>
    </row>
    <row r="36" spans="2:7" s="45" customFormat="1" ht="15" thickBot="1" x14ac:dyDescent="0.4">
      <c r="B36" s="410"/>
      <c r="C36" s="48">
        <v>5</v>
      </c>
      <c r="D36" s="100" t="s">
        <v>373</v>
      </c>
      <c r="E36" s="49"/>
      <c r="F36" s="54"/>
      <c r="G36" s="54"/>
    </row>
    <row r="37" spans="2:7" s="45" customFormat="1" ht="15" thickBot="1" x14ac:dyDescent="0.4">
      <c r="B37" s="411"/>
      <c r="C37" s="50"/>
      <c r="D37" s="101" t="s">
        <v>335</v>
      </c>
      <c r="E37" s="51"/>
      <c r="F37" s="54"/>
      <c r="G37" s="54"/>
    </row>
    <row r="38" spans="2:7" ht="12.75" customHeight="1" x14ac:dyDescent="0.35">
      <c r="B38" s="55"/>
      <c r="C38" s="56"/>
      <c r="D38" s="55" t="s">
        <v>370</v>
      </c>
    </row>
  </sheetData>
  <mergeCells count="10">
    <mergeCell ref="B14:B19"/>
    <mergeCell ref="B20:B25"/>
    <mergeCell ref="B26:B31"/>
    <mergeCell ref="B32:B37"/>
    <mergeCell ref="B2:D2"/>
    <mergeCell ref="F2:I2"/>
    <mergeCell ref="B3:C3"/>
    <mergeCell ref="F3:G3"/>
    <mergeCell ref="B4:D5"/>
    <mergeCell ref="B8:B13"/>
  </mergeCells>
  <conditionalFormatting sqref="D6">
    <cfRule type="cellIs" dxfId="46" priority="1" operator="greaterThan">
      <formula>21</formula>
    </cfRule>
    <cfRule type="cellIs" dxfId="45" priority="2" operator="between">
      <formula>21</formula>
      <formula>30</formula>
    </cfRule>
    <cfRule type="cellIs" dxfId="44" priority="3" operator="between">
      <formula>11</formula>
      <formula>20</formula>
    </cfRule>
    <cfRule type="cellIs" dxfId="43" priority="4" operator="between">
      <formula>1</formula>
      <formula>10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1:I38"/>
  <sheetViews>
    <sheetView showGridLines="0" zoomScale="90" zoomScaleNormal="90" workbookViewId="0">
      <selection activeCell="G18" sqref="G18"/>
    </sheetView>
  </sheetViews>
  <sheetFormatPr defaultColWidth="9.1796875" defaultRowHeight="14.5" x14ac:dyDescent="0.35"/>
  <cols>
    <col min="1" max="1" width="3.1796875" customWidth="1"/>
    <col min="2" max="2" width="30.7265625" customWidth="1"/>
    <col min="3" max="3" width="12" customWidth="1"/>
    <col min="4" max="4" width="62.1796875" customWidth="1"/>
    <col min="5" max="5" width="47.453125" customWidth="1"/>
    <col min="6" max="7" width="9.1796875" style="57"/>
    <col min="8" max="8" width="15.54296875" customWidth="1"/>
    <col min="9" max="9" width="70.26953125" bestFit="1" customWidth="1"/>
  </cols>
  <sheetData>
    <row r="1" spans="2:9" ht="15" thickBot="1" x14ac:dyDescent="0.4"/>
    <row r="2" spans="2:9" ht="21" x14ac:dyDescent="0.4">
      <c r="B2" s="402" t="s">
        <v>326</v>
      </c>
      <c r="C2" s="402"/>
      <c r="D2" s="402"/>
      <c r="F2" s="399" t="s">
        <v>327</v>
      </c>
      <c r="G2" s="400"/>
      <c r="H2" s="400"/>
      <c r="I2" s="401"/>
    </row>
    <row r="3" spans="2:9" ht="18" x14ac:dyDescent="0.4">
      <c r="B3" s="402"/>
      <c r="C3" s="402"/>
      <c r="D3" s="19"/>
      <c r="F3" s="403" t="s">
        <v>328</v>
      </c>
      <c r="G3" s="404"/>
      <c r="H3" s="20" t="s">
        <v>0</v>
      </c>
      <c r="I3" s="21" t="s">
        <v>329</v>
      </c>
    </row>
    <row r="4" spans="2:9" x14ac:dyDescent="0.35">
      <c r="B4" s="405" t="s">
        <v>330</v>
      </c>
      <c r="C4" s="405"/>
      <c r="D4" s="405"/>
      <c r="F4" s="22">
        <v>1</v>
      </c>
      <c r="G4" s="23">
        <v>10</v>
      </c>
      <c r="H4" s="24" t="s">
        <v>331</v>
      </c>
      <c r="I4" s="25" t="s">
        <v>332</v>
      </c>
    </row>
    <row r="5" spans="2:9" ht="29.5" thickBot="1" x14ac:dyDescent="0.4">
      <c r="B5" s="406"/>
      <c r="C5" s="406"/>
      <c r="D5" s="406"/>
      <c r="F5" s="26">
        <v>11</v>
      </c>
      <c r="G5" s="27">
        <v>16</v>
      </c>
      <c r="H5" s="28" t="s">
        <v>333</v>
      </c>
      <c r="I5" s="29" t="s">
        <v>334</v>
      </c>
    </row>
    <row r="6" spans="2:9" ht="29.5" thickBot="1" x14ac:dyDescent="0.4">
      <c r="B6" s="30"/>
      <c r="C6" s="31" t="s">
        <v>335</v>
      </c>
      <c r="D6" s="32">
        <f>SUM(C13+C19+C25+C31+C37)</f>
        <v>0</v>
      </c>
      <c r="F6" s="33">
        <v>17</v>
      </c>
      <c r="G6" s="34">
        <v>20</v>
      </c>
      <c r="H6" s="35" t="s">
        <v>336</v>
      </c>
      <c r="I6" s="29" t="s">
        <v>337</v>
      </c>
    </row>
    <row r="7" spans="2:9" ht="15" thickBot="1" x14ac:dyDescent="0.4">
      <c r="B7" s="36" t="s">
        <v>338</v>
      </c>
      <c r="C7" s="37" t="s">
        <v>339</v>
      </c>
      <c r="D7" s="38" t="s">
        <v>340</v>
      </c>
      <c r="E7" s="39" t="s">
        <v>329</v>
      </c>
      <c r="F7" s="40">
        <v>21</v>
      </c>
      <c r="G7" s="41">
        <v>50</v>
      </c>
      <c r="H7" s="42" t="s">
        <v>341</v>
      </c>
      <c r="I7" s="29" t="s">
        <v>342</v>
      </c>
    </row>
    <row r="8" spans="2:9" s="45" customFormat="1" x14ac:dyDescent="0.35">
      <c r="B8" s="407" t="s">
        <v>343</v>
      </c>
      <c r="C8" s="43">
        <v>1</v>
      </c>
      <c r="D8" s="98" t="s">
        <v>344</v>
      </c>
      <c r="E8" s="44"/>
    </row>
    <row r="9" spans="2:9" s="45" customFormat="1" x14ac:dyDescent="0.35">
      <c r="B9" s="407"/>
      <c r="C9" s="46">
        <v>2</v>
      </c>
      <c r="D9" s="99" t="s">
        <v>345</v>
      </c>
      <c r="E9" s="47"/>
    </row>
    <row r="10" spans="2:9" s="45" customFormat="1" x14ac:dyDescent="0.35">
      <c r="B10" s="407"/>
      <c r="C10" s="46">
        <v>3</v>
      </c>
      <c r="D10" s="99" t="s">
        <v>346</v>
      </c>
      <c r="E10" s="47"/>
    </row>
    <row r="11" spans="2:9" s="45" customFormat="1" ht="25" x14ac:dyDescent="0.35">
      <c r="B11" s="407"/>
      <c r="C11" s="46">
        <v>4</v>
      </c>
      <c r="D11" s="99" t="s">
        <v>347</v>
      </c>
      <c r="E11" s="47"/>
    </row>
    <row r="12" spans="2:9" s="45" customFormat="1" ht="15" thickBot="1" x14ac:dyDescent="0.4">
      <c r="B12" s="407"/>
      <c r="C12" s="48">
        <v>5</v>
      </c>
      <c r="D12" s="100" t="s">
        <v>348</v>
      </c>
      <c r="E12" s="49"/>
    </row>
    <row r="13" spans="2:9" s="45" customFormat="1" ht="15" thickBot="1" x14ac:dyDescent="0.4">
      <c r="B13" s="408"/>
      <c r="C13" s="50"/>
      <c r="D13" s="101" t="s">
        <v>335</v>
      </c>
      <c r="E13" s="51"/>
    </row>
    <row r="14" spans="2:9" s="45" customFormat="1" x14ac:dyDescent="0.35">
      <c r="B14" s="409" t="s">
        <v>349</v>
      </c>
      <c r="C14" s="52">
        <v>1</v>
      </c>
      <c r="D14" s="102" t="s">
        <v>350</v>
      </c>
      <c r="E14" s="53"/>
      <c r="F14" s="54"/>
      <c r="G14" s="54"/>
    </row>
    <row r="15" spans="2:9" s="45" customFormat="1" x14ac:dyDescent="0.35">
      <c r="B15" s="410"/>
      <c r="C15" s="46">
        <v>2</v>
      </c>
      <c r="D15" s="99" t="s">
        <v>351</v>
      </c>
      <c r="E15" s="47"/>
      <c r="F15" s="54"/>
      <c r="G15" s="54"/>
    </row>
    <row r="16" spans="2:9" s="45" customFormat="1" ht="25" x14ac:dyDescent="0.35">
      <c r="B16" s="410"/>
      <c r="C16" s="46">
        <v>3</v>
      </c>
      <c r="D16" s="99" t="s">
        <v>352</v>
      </c>
      <c r="E16" s="47"/>
      <c r="F16" s="54"/>
      <c r="G16" s="54"/>
    </row>
    <row r="17" spans="2:7" s="45" customFormat="1" x14ac:dyDescent="0.35">
      <c r="B17" s="410"/>
      <c r="C17" s="46">
        <v>4</v>
      </c>
      <c r="D17" s="99" t="s">
        <v>353</v>
      </c>
      <c r="E17" s="47"/>
      <c r="F17" s="54"/>
      <c r="G17" s="54"/>
    </row>
    <row r="18" spans="2:7" s="45" customFormat="1" ht="30" customHeight="1" thickBot="1" x14ac:dyDescent="0.4">
      <c r="B18" s="410"/>
      <c r="C18" s="48">
        <v>5</v>
      </c>
      <c r="D18" s="100" t="s">
        <v>354</v>
      </c>
      <c r="E18" s="49"/>
      <c r="F18" s="54"/>
      <c r="G18" s="54"/>
    </row>
    <row r="19" spans="2:7" s="45" customFormat="1" ht="15" thickBot="1" x14ac:dyDescent="0.4">
      <c r="B19" s="411"/>
      <c r="C19" s="50"/>
      <c r="D19" s="101" t="s">
        <v>335</v>
      </c>
      <c r="E19" s="51"/>
      <c r="F19" s="54"/>
      <c r="G19" s="54"/>
    </row>
    <row r="20" spans="2:7" s="45" customFormat="1" x14ac:dyDescent="0.35">
      <c r="B20" s="409" t="s">
        <v>355</v>
      </c>
      <c r="C20" s="52">
        <v>1</v>
      </c>
      <c r="D20" s="102" t="s">
        <v>356</v>
      </c>
      <c r="E20" s="53"/>
      <c r="F20" s="54"/>
      <c r="G20" s="54"/>
    </row>
    <row r="21" spans="2:7" s="45" customFormat="1" ht="15" thickBot="1" x14ac:dyDescent="0.4">
      <c r="B21" s="410"/>
      <c r="C21" s="46">
        <v>2</v>
      </c>
      <c r="D21" s="99" t="s">
        <v>357</v>
      </c>
      <c r="E21" s="47"/>
      <c r="F21" s="54"/>
      <c r="G21" s="54"/>
    </row>
    <row r="22" spans="2:7" s="45" customFormat="1" x14ac:dyDescent="0.35">
      <c r="B22" s="410"/>
      <c r="C22" s="46">
        <v>3</v>
      </c>
      <c r="D22" s="99" t="s">
        <v>358</v>
      </c>
      <c r="E22" s="53"/>
      <c r="F22" s="54"/>
      <c r="G22" s="54"/>
    </row>
    <row r="23" spans="2:7" s="45" customFormat="1" ht="26" x14ac:dyDescent="0.35">
      <c r="B23" s="410"/>
      <c r="C23" s="46">
        <v>4</v>
      </c>
      <c r="D23" s="99" t="s">
        <v>359</v>
      </c>
      <c r="E23" s="47"/>
      <c r="F23" s="54"/>
      <c r="G23" s="54"/>
    </row>
    <row r="24" spans="2:7" s="45" customFormat="1" ht="26.5" thickBot="1" x14ac:dyDescent="0.4">
      <c r="B24" s="410"/>
      <c r="C24" s="48">
        <v>5</v>
      </c>
      <c r="D24" s="99" t="s">
        <v>360</v>
      </c>
      <c r="E24" s="49"/>
      <c r="F24" s="54"/>
      <c r="G24" s="54"/>
    </row>
    <row r="25" spans="2:7" s="45" customFormat="1" ht="15" thickBot="1" x14ac:dyDescent="0.4">
      <c r="B25" s="411"/>
      <c r="C25" s="50"/>
      <c r="D25" s="101" t="s">
        <v>335</v>
      </c>
      <c r="E25" s="51"/>
      <c r="F25" s="54"/>
      <c r="G25" s="54"/>
    </row>
    <row r="26" spans="2:7" s="45" customFormat="1" x14ac:dyDescent="0.35">
      <c r="B26" s="409" t="s">
        <v>361</v>
      </c>
      <c r="C26" s="52">
        <v>1</v>
      </c>
      <c r="D26" s="102" t="s">
        <v>362</v>
      </c>
      <c r="E26" s="53"/>
      <c r="F26" s="54"/>
      <c r="G26" s="54"/>
    </row>
    <row r="27" spans="2:7" s="45" customFormat="1" x14ac:dyDescent="0.35">
      <c r="B27" s="410"/>
      <c r="C27" s="46">
        <v>2</v>
      </c>
      <c r="D27" s="99" t="s">
        <v>363</v>
      </c>
      <c r="E27" s="47"/>
      <c r="F27" s="54"/>
      <c r="G27" s="54"/>
    </row>
    <row r="28" spans="2:7" s="45" customFormat="1" x14ac:dyDescent="0.35">
      <c r="B28" s="410"/>
      <c r="C28" s="46">
        <v>3</v>
      </c>
      <c r="D28" s="99" t="s">
        <v>364</v>
      </c>
      <c r="E28" s="47"/>
      <c r="F28" s="54"/>
      <c r="G28" s="54"/>
    </row>
    <row r="29" spans="2:7" s="45" customFormat="1" x14ac:dyDescent="0.35">
      <c r="B29" s="410"/>
      <c r="C29" s="46">
        <v>4</v>
      </c>
      <c r="D29" s="99" t="s">
        <v>365</v>
      </c>
      <c r="E29" s="47"/>
      <c r="F29" s="54"/>
      <c r="G29" s="54"/>
    </row>
    <row r="30" spans="2:7" s="45" customFormat="1" ht="15" thickBot="1" x14ac:dyDescent="0.4">
      <c r="B30" s="410"/>
      <c r="C30" s="48">
        <v>5</v>
      </c>
      <c r="D30" s="100" t="s">
        <v>366</v>
      </c>
      <c r="E30" s="49"/>
      <c r="F30" s="54"/>
      <c r="G30" s="54"/>
    </row>
    <row r="31" spans="2:7" s="45" customFormat="1" ht="15" thickBot="1" x14ac:dyDescent="0.4">
      <c r="B31" s="411"/>
      <c r="C31" s="50"/>
      <c r="D31" s="101" t="s">
        <v>335</v>
      </c>
      <c r="E31" s="51"/>
      <c r="F31" s="54"/>
      <c r="G31" s="54"/>
    </row>
    <row r="32" spans="2:7" s="45" customFormat="1" x14ac:dyDescent="0.35">
      <c r="B32" s="409" t="s">
        <v>367</v>
      </c>
      <c r="C32" s="52">
        <v>1</v>
      </c>
      <c r="D32" s="102" t="s">
        <v>368</v>
      </c>
      <c r="E32" s="53"/>
      <c r="F32" s="54"/>
      <c r="G32" s="54"/>
    </row>
    <row r="33" spans="2:7" s="45" customFormat="1" x14ac:dyDescent="0.35">
      <c r="B33" s="410"/>
      <c r="C33" s="46">
        <v>2</v>
      </c>
      <c r="D33" s="99" t="s">
        <v>369</v>
      </c>
      <c r="E33" s="47" t="s">
        <v>370</v>
      </c>
      <c r="F33" s="54"/>
      <c r="G33" s="54"/>
    </row>
    <row r="34" spans="2:7" s="45" customFormat="1" x14ac:dyDescent="0.35">
      <c r="B34" s="410"/>
      <c r="C34" s="46">
        <v>3</v>
      </c>
      <c r="D34" s="99" t="s">
        <v>371</v>
      </c>
      <c r="E34" s="47"/>
      <c r="F34" s="54"/>
      <c r="G34" s="54"/>
    </row>
    <row r="35" spans="2:7" s="45" customFormat="1" x14ac:dyDescent="0.35">
      <c r="B35" s="410"/>
      <c r="C35" s="46">
        <v>4</v>
      </c>
      <c r="D35" s="99" t="s">
        <v>372</v>
      </c>
      <c r="E35" s="47"/>
      <c r="F35" s="54"/>
      <c r="G35" s="54"/>
    </row>
    <row r="36" spans="2:7" s="45" customFormat="1" ht="15" thickBot="1" x14ac:dyDescent="0.4">
      <c r="B36" s="410"/>
      <c r="C36" s="48">
        <v>5</v>
      </c>
      <c r="D36" s="100" t="s">
        <v>373</v>
      </c>
      <c r="E36" s="49"/>
      <c r="F36" s="54"/>
      <c r="G36" s="54"/>
    </row>
    <row r="37" spans="2:7" s="45" customFormat="1" ht="15" thickBot="1" x14ac:dyDescent="0.4">
      <c r="B37" s="411"/>
      <c r="C37" s="50"/>
      <c r="D37" s="101" t="s">
        <v>335</v>
      </c>
      <c r="E37" s="51"/>
      <c r="F37" s="54"/>
      <c r="G37" s="54"/>
    </row>
    <row r="38" spans="2:7" ht="12.75" customHeight="1" x14ac:dyDescent="0.35">
      <c r="B38" s="55"/>
      <c r="C38" s="56"/>
      <c r="D38" s="55" t="s">
        <v>370</v>
      </c>
    </row>
  </sheetData>
  <mergeCells count="10">
    <mergeCell ref="B14:B19"/>
    <mergeCell ref="B20:B25"/>
    <mergeCell ref="B26:B31"/>
    <mergeCell ref="B32:B37"/>
    <mergeCell ref="B2:D2"/>
    <mergeCell ref="F2:I2"/>
    <mergeCell ref="B3:C3"/>
    <mergeCell ref="F3:G3"/>
    <mergeCell ref="B4:D5"/>
    <mergeCell ref="B8:B13"/>
  </mergeCells>
  <conditionalFormatting sqref="D6">
    <cfRule type="cellIs" dxfId="42" priority="1" operator="greaterThan">
      <formula>21</formula>
    </cfRule>
    <cfRule type="cellIs" dxfId="41" priority="2" operator="between">
      <formula>21</formula>
      <formula>30</formula>
    </cfRule>
    <cfRule type="cellIs" dxfId="40" priority="3" operator="between">
      <formula>11</formula>
      <formula>20</formula>
    </cfRule>
    <cfRule type="cellIs" dxfId="39" priority="4" operator="between">
      <formula>1</formula>
      <formula>10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0CD62-CD64-4F55-8D51-06175989477E}">
  <sheetPr>
    <tabColor rgb="FFFFC000"/>
  </sheetPr>
  <dimension ref="B1:I38"/>
  <sheetViews>
    <sheetView showGridLines="0" zoomScale="90" zoomScaleNormal="90" workbookViewId="0">
      <selection activeCell="E24" sqref="E24"/>
    </sheetView>
  </sheetViews>
  <sheetFormatPr defaultColWidth="9.1796875" defaultRowHeight="14.5" x14ac:dyDescent="0.35"/>
  <cols>
    <col min="1" max="1" width="3.1796875" customWidth="1"/>
    <col min="2" max="2" width="30.7265625" customWidth="1"/>
    <col min="3" max="3" width="12" customWidth="1"/>
    <col min="4" max="4" width="62.1796875" customWidth="1"/>
    <col min="5" max="5" width="47.453125" customWidth="1"/>
    <col min="6" max="7" width="9.1796875" style="57"/>
    <col min="8" max="8" width="15.54296875" customWidth="1"/>
    <col min="9" max="9" width="70.26953125" bestFit="1" customWidth="1"/>
  </cols>
  <sheetData>
    <row r="1" spans="2:9" ht="15" thickBot="1" x14ac:dyDescent="0.4"/>
    <row r="2" spans="2:9" ht="21" x14ac:dyDescent="0.4">
      <c r="B2" s="402" t="s">
        <v>326</v>
      </c>
      <c r="C2" s="402"/>
      <c r="D2" s="402"/>
      <c r="F2" s="399" t="s">
        <v>327</v>
      </c>
      <c r="G2" s="400"/>
      <c r="H2" s="400"/>
      <c r="I2" s="401"/>
    </row>
    <row r="3" spans="2:9" ht="18" x14ac:dyDescent="0.4">
      <c r="B3" s="402"/>
      <c r="C3" s="402"/>
      <c r="D3" s="19"/>
      <c r="F3" s="403" t="s">
        <v>328</v>
      </c>
      <c r="G3" s="404"/>
      <c r="H3" s="20" t="s">
        <v>0</v>
      </c>
      <c r="I3" s="21" t="s">
        <v>329</v>
      </c>
    </row>
    <row r="4" spans="2:9" x14ac:dyDescent="0.35">
      <c r="B4" s="405" t="s">
        <v>330</v>
      </c>
      <c r="C4" s="405"/>
      <c r="D4" s="405"/>
      <c r="F4" s="22">
        <v>1</v>
      </c>
      <c r="G4" s="23">
        <v>10</v>
      </c>
      <c r="H4" s="24" t="s">
        <v>331</v>
      </c>
      <c r="I4" s="25" t="s">
        <v>332</v>
      </c>
    </row>
    <row r="5" spans="2:9" ht="29.5" thickBot="1" x14ac:dyDescent="0.4">
      <c r="B5" s="406"/>
      <c r="C5" s="406"/>
      <c r="D5" s="406"/>
      <c r="F5" s="26">
        <v>11</v>
      </c>
      <c r="G5" s="27">
        <v>16</v>
      </c>
      <c r="H5" s="28" t="s">
        <v>333</v>
      </c>
      <c r="I5" s="29" t="s">
        <v>334</v>
      </c>
    </row>
    <row r="6" spans="2:9" ht="29.5" thickBot="1" x14ac:dyDescent="0.4">
      <c r="B6" s="30"/>
      <c r="C6" s="31" t="s">
        <v>335</v>
      </c>
      <c r="D6" s="32">
        <f>SUM(C13+C19+C25+C31+C37)</f>
        <v>0</v>
      </c>
      <c r="F6" s="33">
        <v>17</v>
      </c>
      <c r="G6" s="34">
        <v>20</v>
      </c>
      <c r="H6" s="35" t="s">
        <v>336</v>
      </c>
      <c r="I6" s="29" t="s">
        <v>337</v>
      </c>
    </row>
    <row r="7" spans="2:9" ht="15" thickBot="1" x14ac:dyDescent="0.4">
      <c r="B7" s="36" t="s">
        <v>338</v>
      </c>
      <c r="C7" s="37" t="s">
        <v>339</v>
      </c>
      <c r="D7" s="38" t="s">
        <v>340</v>
      </c>
      <c r="E7" s="39" t="s">
        <v>329</v>
      </c>
      <c r="F7" s="40">
        <v>21</v>
      </c>
      <c r="G7" s="41">
        <v>50</v>
      </c>
      <c r="H7" s="42" t="s">
        <v>341</v>
      </c>
      <c r="I7" s="29" t="s">
        <v>342</v>
      </c>
    </row>
    <row r="8" spans="2:9" s="45" customFormat="1" x14ac:dyDescent="0.35">
      <c r="B8" s="407" t="s">
        <v>343</v>
      </c>
      <c r="C8" s="43">
        <v>1</v>
      </c>
      <c r="D8" s="98" t="s">
        <v>344</v>
      </c>
      <c r="E8" s="44"/>
    </row>
    <row r="9" spans="2:9" s="45" customFormat="1" x14ac:dyDescent="0.35">
      <c r="B9" s="407"/>
      <c r="C9" s="46">
        <v>2</v>
      </c>
      <c r="D9" s="99" t="s">
        <v>345</v>
      </c>
      <c r="E9" s="47"/>
    </row>
    <row r="10" spans="2:9" s="45" customFormat="1" x14ac:dyDescent="0.35">
      <c r="B10" s="407"/>
      <c r="C10" s="46">
        <v>3</v>
      </c>
      <c r="D10" s="99" t="s">
        <v>346</v>
      </c>
      <c r="E10" s="47"/>
    </row>
    <row r="11" spans="2:9" s="45" customFormat="1" ht="25" x14ac:dyDescent="0.35">
      <c r="B11" s="407"/>
      <c r="C11" s="46">
        <v>4</v>
      </c>
      <c r="D11" s="99" t="s">
        <v>347</v>
      </c>
      <c r="E11" s="47"/>
    </row>
    <row r="12" spans="2:9" s="45" customFormat="1" ht="15" thickBot="1" x14ac:dyDescent="0.4">
      <c r="B12" s="407"/>
      <c r="C12" s="48">
        <v>5</v>
      </c>
      <c r="D12" s="100" t="s">
        <v>348</v>
      </c>
      <c r="E12" s="49"/>
    </row>
    <row r="13" spans="2:9" s="45" customFormat="1" ht="15" thickBot="1" x14ac:dyDescent="0.4">
      <c r="B13" s="408"/>
      <c r="C13" s="50"/>
      <c r="D13" s="101" t="s">
        <v>335</v>
      </c>
      <c r="E13" s="51"/>
    </row>
    <row r="14" spans="2:9" s="45" customFormat="1" x14ac:dyDescent="0.35">
      <c r="B14" s="409" t="s">
        <v>349</v>
      </c>
      <c r="C14" s="52">
        <v>1</v>
      </c>
      <c r="D14" s="102" t="s">
        <v>350</v>
      </c>
      <c r="E14" s="53"/>
      <c r="F14" s="54"/>
      <c r="G14" s="54"/>
    </row>
    <row r="15" spans="2:9" s="45" customFormat="1" x14ac:dyDescent="0.35">
      <c r="B15" s="410"/>
      <c r="C15" s="46">
        <v>2</v>
      </c>
      <c r="D15" s="99" t="s">
        <v>351</v>
      </c>
      <c r="E15" s="47"/>
      <c r="F15" s="54"/>
      <c r="G15" s="54"/>
    </row>
    <row r="16" spans="2:9" s="45" customFormat="1" ht="25" x14ac:dyDescent="0.35">
      <c r="B16" s="410"/>
      <c r="C16" s="46">
        <v>3</v>
      </c>
      <c r="D16" s="99" t="s">
        <v>352</v>
      </c>
      <c r="E16" s="47"/>
      <c r="F16" s="54"/>
      <c r="G16" s="54"/>
    </row>
    <row r="17" spans="2:7" s="45" customFormat="1" x14ac:dyDescent="0.35">
      <c r="B17" s="410"/>
      <c r="C17" s="46">
        <v>4</v>
      </c>
      <c r="D17" s="99" t="s">
        <v>353</v>
      </c>
      <c r="E17" s="47"/>
      <c r="F17" s="54"/>
      <c r="G17" s="54"/>
    </row>
    <row r="18" spans="2:7" s="45" customFormat="1" ht="30" customHeight="1" thickBot="1" x14ac:dyDescent="0.4">
      <c r="B18" s="410"/>
      <c r="C18" s="48">
        <v>5</v>
      </c>
      <c r="D18" s="100" t="s">
        <v>354</v>
      </c>
      <c r="E18" s="49"/>
      <c r="F18" s="54"/>
      <c r="G18" s="54"/>
    </row>
    <row r="19" spans="2:7" s="45" customFormat="1" ht="15" thickBot="1" x14ac:dyDescent="0.4">
      <c r="B19" s="411"/>
      <c r="C19" s="50"/>
      <c r="D19" s="101" t="s">
        <v>335</v>
      </c>
      <c r="E19" s="51"/>
      <c r="F19" s="54"/>
      <c r="G19" s="54"/>
    </row>
    <row r="20" spans="2:7" s="45" customFormat="1" x14ac:dyDescent="0.35">
      <c r="B20" s="409" t="s">
        <v>355</v>
      </c>
      <c r="C20" s="52">
        <v>1</v>
      </c>
      <c r="D20" s="102" t="s">
        <v>356</v>
      </c>
      <c r="E20" s="53"/>
      <c r="F20" s="54"/>
      <c r="G20" s="54"/>
    </row>
    <row r="21" spans="2:7" s="45" customFormat="1" ht="15" thickBot="1" x14ac:dyDescent="0.4">
      <c r="B21" s="410"/>
      <c r="C21" s="46">
        <v>2</v>
      </c>
      <c r="D21" s="99" t="s">
        <v>357</v>
      </c>
      <c r="E21" s="47"/>
      <c r="F21" s="54"/>
      <c r="G21" s="54"/>
    </row>
    <row r="22" spans="2:7" s="45" customFormat="1" x14ac:dyDescent="0.35">
      <c r="B22" s="410"/>
      <c r="C22" s="46">
        <v>3</v>
      </c>
      <c r="D22" s="99" t="s">
        <v>358</v>
      </c>
      <c r="E22" s="53"/>
      <c r="F22" s="54"/>
      <c r="G22" s="54"/>
    </row>
    <row r="23" spans="2:7" s="45" customFormat="1" ht="26" x14ac:dyDescent="0.35">
      <c r="B23" s="410"/>
      <c r="C23" s="46">
        <v>4</v>
      </c>
      <c r="D23" s="99" t="s">
        <v>359</v>
      </c>
      <c r="E23" s="47"/>
      <c r="F23" s="54"/>
      <c r="G23" s="54"/>
    </row>
    <row r="24" spans="2:7" s="45" customFormat="1" ht="26.5" thickBot="1" x14ac:dyDescent="0.4">
      <c r="B24" s="410"/>
      <c r="C24" s="48">
        <v>5</v>
      </c>
      <c r="D24" s="99" t="s">
        <v>360</v>
      </c>
      <c r="E24" s="49"/>
      <c r="F24" s="54"/>
      <c r="G24" s="54"/>
    </row>
    <row r="25" spans="2:7" s="45" customFormat="1" ht="15" thickBot="1" x14ac:dyDescent="0.4">
      <c r="B25" s="411"/>
      <c r="C25" s="50"/>
      <c r="D25" s="101" t="s">
        <v>335</v>
      </c>
      <c r="E25" s="51"/>
      <c r="F25" s="54"/>
      <c r="G25" s="54"/>
    </row>
    <row r="26" spans="2:7" s="45" customFormat="1" x14ac:dyDescent="0.35">
      <c r="B26" s="409" t="s">
        <v>361</v>
      </c>
      <c r="C26" s="52">
        <v>1</v>
      </c>
      <c r="D26" s="102" t="s">
        <v>362</v>
      </c>
      <c r="E26" s="53"/>
      <c r="F26" s="54"/>
      <c r="G26" s="54"/>
    </row>
    <row r="27" spans="2:7" s="45" customFormat="1" x14ac:dyDescent="0.35">
      <c r="B27" s="410"/>
      <c r="C27" s="46">
        <v>2</v>
      </c>
      <c r="D27" s="99" t="s">
        <v>363</v>
      </c>
      <c r="E27" s="47"/>
      <c r="F27" s="54"/>
      <c r="G27" s="54"/>
    </row>
    <row r="28" spans="2:7" s="45" customFormat="1" x14ac:dyDescent="0.35">
      <c r="B28" s="410"/>
      <c r="C28" s="46">
        <v>3</v>
      </c>
      <c r="D28" s="99" t="s">
        <v>364</v>
      </c>
      <c r="E28" s="47"/>
      <c r="F28" s="54"/>
      <c r="G28" s="54"/>
    </row>
    <row r="29" spans="2:7" s="45" customFormat="1" x14ac:dyDescent="0.35">
      <c r="B29" s="410"/>
      <c r="C29" s="46">
        <v>4</v>
      </c>
      <c r="D29" s="99" t="s">
        <v>365</v>
      </c>
      <c r="E29" s="47"/>
      <c r="F29" s="54"/>
      <c r="G29" s="54"/>
    </row>
    <row r="30" spans="2:7" s="45" customFormat="1" ht="15" thickBot="1" x14ac:dyDescent="0.4">
      <c r="B30" s="410"/>
      <c r="C30" s="48">
        <v>5</v>
      </c>
      <c r="D30" s="100" t="s">
        <v>366</v>
      </c>
      <c r="E30" s="49"/>
      <c r="F30" s="54"/>
      <c r="G30" s="54"/>
    </row>
    <row r="31" spans="2:7" s="45" customFormat="1" ht="15" thickBot="1" x14ac:dyDescent="0.4">
      <c r="B31" s="411"/>
      <c r="C31" s="50"/>
      <c r="D31" s="101" t="s">
        <v>335</v>
      </c>
      <c r="E31" s="51"/>
      <c r="F31" s="54"/>
      <c r="G31" s="54"/>
    </row>
    <row r="32" spans="2:7" s="45" customFormat="1" x14ac:dyDescent="0.35">
      <c r="B32" s="409" t="s">
        <v>367</v>
      </c>
      <c r="C32" s="52">
        <v>1</v>
      </c>
      <c r="D32" s="102" t="s">
        <v>368</v>
      </c>
      <c r="E32" s="53"/>
      <c r="F32" s="54"/>
      <c r="G32" s="54"/>
    </row>
    <row r="33" spans="2:7" s="45" customFormat="1" x14ac:dyDescent="0.35">
      <c r="B33" s="410"/>
      <c r="C33" s="46">
        <v>2</v>
      </c>
      <c r="D33" s="99" t="s">
        <v>369</v>
      </c>
      <c r="E33" s="47" t="s">
        <v>370</v>
      </c>
      <c r="F33" s="54"/>
      <c r="G33" s="54"/>
    </row>
    <row r="34" spans="2:7" s="45" customFormat="1" x14ac:dyDescent="0.35">
      <c r="B34" s="410"/>
      <c r="C34" s="46">
        <v>3</v>
      </c>
      <c r="D34" s="99" t="s">
        <v>371</v>
      </c>
      <c r="E34" s="47"/>
      <c r="F34" s="54"/>
      <c r="G34" s="54"/>
    </row>
    <row r="35" spans="2:7" s="45" customFormat="1" x14ac:dyDescent="0.35">
      <c r="B35" s="410"/>
      <c r="C35" s="46">
        <v>4</v>
      </c>
      <c r="D35" s="99" t="s">
        <v>372</v>
      </c>
      <c r="E35" s="47"/>
      <c r="F35" s="54"/>
      <c r="G35" s="54"/>
    </row>
    <row r="36" spans="2:7" s="45" customFormat="1" ht="15" thickBot="1" x14ac:dyDescent="0.4">
      <c r="B36" s="410"/>
      <c r="C36" s="48">
        <v>5</v>
      </c>
      <c r="D36" s="100" t="s">
        <v>373</v>
      </c>
      <c r="E36" s="49"/>
      <c r="F36" s="54"/>
      <c r="G36" s="54"/>
    </row>
    <row r="37" spans="2:7" s="45" customFormat="1" ht="15" thickBot="1" x14ac:dyDescent="0.4">
      <c r="B37" s="411"/>
      <c r="C37" s="50"/>
      <c r="D37" s="101" t="s">
        <v>335</v>
      </c>
      <c r="E37" s="51"/>
      <c r="F37" s="54"/>
      <c r="G37" s="54"/>
    </row>
    <row r="38" spans="2:7" ht="12.75" customHeight="1" x14ac:dyDescent="0.35">
      <c r="B38" s="55"/>
      <c r="C38" s="56"/>
      <c r="D38" s="55" t="s">
        <v>370</v>
      </c>
    </row>
  </sheetData>
  <mergeCells count="10">
    <mergeCell ref="B14:B19"/>
    <mergeCell ref="B20:B25"/>
    <mergeCell ref="B26:B31"/>
    <mergeCell ref="B32:B37"/>
    <mergeCell ref="B2:D2"/>
    <mergeCell ref="F2:I2"/>
    <mergeCell ref="B3:C3"/>
    <mergeCell ref="F3:G3"/>
    <mergeCell ref="B4:D5"/>
    <mergeCell ref="B8:B13"/>
  </mergeCells>
  <conditionalFormatting sqref="D6">
    <cfRule type="cellIs" dxfId="38" priority="1" operator="greaterThan">
      <formula>21</formula>
    </cfRule>
    <cfRule type="cellIs" dxfId="37" priority="2" operator="between">
      <formula>21</formula>
      <formula>30</formula>
    </cfRule>
    <cfRule type="cellIs" dxfId="36" priority="3" operator="between">
      <formula>11</formula>
      <formula>20</formula>
    </cfRule>
    <cfRule type="cellIs" dxfId="35" priority="4" operator="between">
      <formula>1</formula>
      <formula>10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8108E-EFFB-4E3E-BAE1-0898288B69A9}">
  <sheetPr>
    <tabColor rgb="FFFFC000"/>
  </sheetPr>
  <dimension ref="B1:I38"/>
  <sheetViews>
    <sheetView showGridLines="0" zoomScale="90" zoomScaleNormal="90" workbookViewId="0">
      <selection sqref="A1:XFD1048576"/>
    </sheetView>
  </sheetViews>
  <sheetFormatPr defaultColWidth="9.1796875" defaultRowHeight="14.5" x14ac:dyDescent="0.35"/>
  <cols>
    <col min="1" max="1" width="3.1796875" customWidth="1"/>
    <col min="2" max="2" width="30.7265625" customWidth="1"/>
    <col min="3" max="3" width="12" customWidth="1"/>
    <col min="4" max="4" width="62.1796875" customWidth="1"/>
    <col min="5" max="5" width="47.453125" customWidth="1"/>
    <col min="6" max="7" width="9.1796875" style="57"/>
    <col min="8" max="8" width="15.54296875" customWidth="1"/>
    <col min="9" max="9" width="70.26953125" bestFit="1" customWidth="1"/>
  </cols>
  <sheetData>
    <row r="1" spans="2:9" ht="15" thickBot="1" x14ac:dyDescent="0.4"/>
    <row r="2" spans="2:9" ht="21" x14ac:dyDescent="0.4">
      <c r="B2" s="402" t="s">
        <v>326</v>
      </c>
      <c r="C2" s="402"/>
      <c r="D2" s="402"/>
      <c r="F2" s="399" t="s">
        <v>327</v>
      </c>
      <c r="G2" s="400"/>
      <c r="H2" s="400"/>
      <c r="I2" s="401"/>
    </row>
    <row r="3" spans="2:9" ht="18" x14ac:dyDescent="0.4">
      <c r="B3" s="402"/>
      <c r="C3" s="402"/>
      <c r="D3" s="19"/>
      <c r="F3" s="403" t="s">
        <v>328</v>
      </c>
      <c r="G3" s="404"/>
      <c r="H3" s="20" t="s">
        <v>0</v>
      </c>
      <c r="I3" s="21" t="s">
        <v>329</v>
      </c>
    </row>
    <row r="4" spans="2:9" x14ac:dyDescent="0.35">
      <c r="B4" s="405" t="s">
        <v>330</v>
      </c>
      <c r="C4" s="405"/>
      <c r="D4" s="405"/>
      <c r="F4" s="22">
        <v>1</v>
      </c>
      <c r="G4" s="23">
        <v>10</v>
      </c>
      <c r="H4" s="24" t="s">
        <v>331</v>
      </c>
      <c r="I4" s="25" t="s">
        <v>332</v>
      </c>
    </row>
    <row r="5" spans="2:9" ht="29.5" thickBot="1" x14ac:dyDescent="0.4">
      <c r="B5" s="406"/>
      <c r="C5" s="406"/>
      <c r="D5" s="406"/>
      <c r="F5" s="26">
        <v>11</v>
      </c>
      <c r="G5" s="27">
        <v>16</v>
      </c>
      <c r="H5" s="28" t="s">
        <v>333</v>
      </c>
      <c r="I5" s="29" t="s">
        <v>334</v>
      </c>
    </row>
    <row r="6" spans="2:9" ht="29.5" thickBot="1" x14ac:dyDescent="0.4">
      <c r="B6" s="30"/>
      <c r="C6" s="31" t="s">
        <v>335</v>
      </c>
      <c r="D6" s="32">
        <f>SUM(C13+C19+C25+C31+C37)</f>
        <v>0</v>
      </c>
      <c r="F6" s="33">
        <v>17</v>
      </c>
      <c r="G6" s="34">
        <v>20</v>
      </c>
      <c r="H6" s="35" t="s">
        <v>336</v>
      </c>
      <c r="I6" s="29" t="s">
        <v>337</v>
      </c>
    </row>
    <row r="7" spans="2:9" ht="15" thickBot="1" x14ac:dyDescent="0.4">
      <c r="B7" s="36" t="s">
        <v>338</v>
      </c>
      <c r="C7" s="37" t="s">
        <v>339</v>
      </c>
      <c r="D7" s="38" t="s">
        <v>340</v>
      </c>
      <c r="E7" s="39" t="s">
        <v>329</v>
      </c>
      <c r="F7" s="40">
        <v>21</v>
      </c>
      <c r="G7" s="41">
        <v>50</v>
      </c>
      <c r="H7" s="42" t="s">
        <v>341</v>
      </c>
      <c r="I7" s="29" t="s">
        <v>342</v>
      </c>
    </row>
    <row r="8" spans="2:9" s="45" customFormat="1" x14ac:dyDescent="0.35">
      <c r="B8" s="407" t="s">
        <v>343</v>
      </c>
      <c r="C8" s="43">
        <v>1</v>
      </c>
      <c r="D8" s="98" t="s">
        <v>344</v>
      </c>
      <c r="E8" s="44"/>
    </row>
    <row r="9" spans="2:9" s="45" customFormat="1" x14ac:dyDescent="0.35">
      <c r="B9" s="407"/>
      <c r="C9" s="46">
        <v>2</v>
      </c>
      <c r="D9" s="99" t="s">
        <v>345</v>
      </c>
      <c r="E9" s="47"/>
    </row>
    <row r="10" spans="2:9" s="45" customFormat="1" x14ac:dyDescent="0.35">
      <c r="B10" s="407"/>
      <c r="C10" s="46">
        <v>3</v>
      </c>
      <c r="D10" s="99" t="s">
        <v>346</v>
      </c>
      <c r="E10" s="47"/>
    </row>
    <row r="11" spans="2:9" s="45" customFormat="1" ht="25" x14ac:dyDescent="0.35">
      <c r="B11" s="407"/>
      <c r="C11" s="46">
        <v>4</v>
      </c>
      <c r="D11" s="99" t="s">
        <v>347</v>
      </c>
      <c r="E11" s="47"/>
    </row>
    <row r="12" spans="2:9" s="45" customFormat="1" ht="15" thickBot="1" x14ac:dyDescent="0.4">
      <c r="B12" s="407"/>
      <c r="C12" s="48">
        <v>5</v>
      </c>
      <c r="D12" s="100" t="s">
        <v>348</v>
      </c>
      <c r="E12" s="49"/>
    </row>
    <row r="13" spans="2:9" s="45" customFormat="1" ht="15" thickBot="1" x14ac:dyDescent="0.4">
      <c r="B13" s="408"/>
      <c r="C13" s="50"/>
      <c r="D13" s="101" t="s">
        <v>335</v>
      </c>
      <c r="E13" s="51"/>
    </row>
    <row r="14" spans="2:9" s="45" customFormat="1" x14ac:dyDescent="0.35">
      <c r="B14" s="409" t="s">
        <v>349</v>
      </c>
      <c r="C14" s="52">
        <v>1</v>
      </c>
      <c r="D14" s="102" t="s">
        <v>350</v>
      </c>
      <c r="E14" s="53"/>
      <c r="F14" s="54"/>
      <c r="G14" s="54"/>
    </row>
    <row r="15" spans="2:9" s="45" customFormat="1" x14ac:dyDescent="0.35">
      <c r="B15" s="410"/>
      <c r="C15" s="46">
        <v>2</v>
      </c>
      <c r="D15" s="99" t="s">
        <v>351</v>
      </c>
      <c r="E15" s="47"/>
      <c r="F15" s="54"/>
      <c r="G15" s="54"/>
    </row>
    <row r="16" spans="2:9" s="45" customFormat="1" ht="25" x14ac:dyDescent="0.35">
      <c r="B16" s="410"/>
      <c r="C16" s="46">
        <v>3</v>
      </c>
      <c r="D16" s="99" t="s">
        <v>352</v>
      </c>
      <c r="E16" s="47"/>
      <c r="F16" s="54"/>
      <c r="G16" s="54"/>
    </row>
    <row r="17" spans="2:7" s="45" customFormat="1" x14ac:dyDescent="0.35">
      <c r="B17" s="410"/>
      <c r="C17" s="46">
        <v>4</v>
      </c>
      <c r="D17" s="99" t="s">
        <v>353</v>
      </c>
      <c r="E17" s="47"/>
      <c r="F17" s="54"/>
      <c r="G17" s="54"/>
    </row>
    <row r="18" spans="2:7" s="45" customFormat="1" ht="30" customHeight="1" thickBot="1" x14ac:dyDescent="0.4">
      <c r="B18" s="410"/>
      <c r="C18" s="48">
        <v>5</v>
      </c>
      <c r="D18" s="100" t="s">
        <v>354</v>
      </c>
      <c r="E18" s="49"/>
      <c r="F18" s="54"/>
      <c r="G18" s="54"/>
    </row>
    <row r="19" spans="2:7" s="45" customFormat="1" ht="15" thickBot="1" x14ac:dyDescent="0.4">
      <c r="B19" s="411"/>
      <c r="C19" s="50"/>
      <c r="D19" s="101" t="s">
        <v>335</v>
      </c>
      <c r="E19" s="51"/>
      <c r="F19" s="54"/>
      <c r="G19" s="54"/>
    </row>
    <row r="20" spans="2:7" s="45" customFormat="1" x14ac:dyDescent="0.35">
      <c r="B20" s="409" t="s">
        <v>355</v>
      </c>
      <c r="C20" s="52">
        <v>1</v>
      </c>
      <c r="D20" s="102" t="s">
        <v>356</v>
      </c>
      <c r="E20" s="53"/>
      <c r="F20" s="54"/>
      <c r="G20" s="54"/>
    </row>
    <row r="21" spans="2:7" s="45" customFormat="1" ht="15" thickBot="1" x14ac:dyDescent="0.4">
      <c r="B21" s="410"/>
      <c r="C21" s="46">
        <v>2</v>
      </c>
      <c r="D21" s="99" t="s">
        <v>357</v>
      </c>
      <c r="E21" s="47"/>
      <c r="F21" s="54"/>
      <c r="G21" s="54"/>
    </row>
    <row r="22" spans="2:7" s="45" customFormat="1" x14ac:dyDescent="0.35">
      <c r="B22" s="410"/>
      <c r="C22" s="46">
        <v>3</v>
      </c>
      <c r="D22" s="99" t="s">
        <v>358</v>
      </c>
      <c r="E22" s="53"/>
      <c r="F22" s="54"/>
      <c r="G22" s="54"/>
    </row>
    <row r="23" spans="2:7" s="45" customFormat="1" ht="26" x14ac:dyDescent="0.35">
      <c r="B23" s="410"/>
      <c r="C23" s="46">
        <v>4</v>
      </c>
      <c r="D23" s="99" t="s">
        <v>359</v>
      </c>
      <c r="E23" s="47"/>
      <c r="F23" s="54"/>
      <c r="G23" s="54"/>
    </row>
    <row r="24" spans="2:7" s="45" customFormat="1" ht="26.5" thickBot="1" x14ac:dyDescent="0.4">
      <c r="B24" s="410"/>
      <c r="C24" s="48">
        <v>5</v>
      </c>
      <c r="D24" s="99" t="s">
        <v>360</v>
      </c>
      <c r="E24" s="49"/>
      <c r="F24" s="54"/>
      <c r="G24" s="54"/>
    </row>
    <row r="25" spans="2:7" s="45" customFormat="1" ht="15" thickBot="1" x14ac:dyDescent="0.4">
      <c r="B25" s="411"/>
      <c r="C25" s="50"/>
      <c r="D25" s="101" t="s">
        <v>335</v>
      </c>
      <c r="E25" s="51"/>
      <c r="F25" s="54"/>
      <c r="G25" s="54"/>
    </row>
    <row r="26" spans="2:7" s="45" customFormat="1" x14ac:dyDescent="0.35">
      <c r="B26" s="409" t="s">
        <v>361</v>
      </c>
      <c r="C26" s="52">
        <v>1</v>
      </c>
      <c r="D26" s="102" t="s">
        <v>362</v>
      </c>
      <c r="E26" s="53"/>
      <c r="F26" s="54"/>
      <c r="G26" s="54"/>
    </row>
    <row r="27" spans="2:7" s="45" customFormat="1" x14ac:dyDescent="0.35">
      <c r="B27" s="410"/>
      <c r="C27" s="46">
        <v>2</v>
      </c>
      <c r="D27" s="99" t="s">
        <v>363</v>
      </c>
      <c r="E27" s="47"/>
      <c r="F27" s="54"/>
      <c r="G27" s="54"/>
    </row>
    <row r="28" spans="2:7" s="45" customFormat="1" x14ac:dyDescent="0.35">
      <c r="B28" s="410"/>
      <c r="C28" s="46">
        <v>3</v>
      </c>
      <c r="D28" s="99" t="s">
        <v>364</v>
      </c>
      <c r="E28" s="47"/>
      <c r="F28" s="54"/>
      <c r="G28" s="54"/>
    </row>
    <row r="29" spans="2:7" s="45" customFormat="1" x14ac:dyDescent="0.35">
      <c r="B29" s="410"/>
      <c r="C29" s="46">
        <v>4</v>
      </c>
      <c r="D29" s="99" t="s">
        <v>365</v>
      </c>
      <c r="E29" s="47"/>
      <c r="F29" s="54"/>
      <c r="G29" s="54"/>
    </row>
    <row r="30" spans="2:7" s="45" customFormat="1" ht="15" thickBot="1" x14ac:dyDescent="0.4">
      <c r="B30" s="410"/>
      <c r="C30" s="48">
        <v>5</v>
      </c>
      <c r="D30" s="100" t="s">
        <v>366</v>
      </c>
      <c r="E30" s="49"/>
      <c r="F30" s="54"/>
      <c r="G30" s="54"/>
    </row>
    <row r="31" spans="2:7" s="45" customFormat="1" ht="15" thickBot="1" x14ac:dyDescent="0.4">
      <c r="B31" s="411"/>
      <c r="C31" s="50"/>
      <c r="D31" s="101" t="s">
        <v>335</v>
      </c>
      <c r="E31" s="51"/>
      <c r="F31" s="54"/>
      <c r="G31" s="54"/>
    </row>
    <row r="32" spans="2:7" s="45" customFormat="1" x14ac:dyDescent="0.35">
      <c r="B32" s="409" t="s">
        <v>367</v>
      </c>
      <c r="C32" s="52">
        <v>1</v>
      </c>
      <c r="D32" s="102" t="s">
        <v>368</v>
      </c>
      <c r="E32" s="53"/>
      <c r="F32" s="54"/>
      <c r="G32" s="54"/>
    </row>
    <row r="33" spans="2:7" s="45" customFormat="1" x14ac:dyDescent="0.35">
      <c r="B33" s="410"/>
      <c r="C33" s="46">
        <v>2</v>
      </c>
      <c r="D33" s="99" t="s">
        <v>369</v>
      </c>
      <c r="E33" s="47" t="s">
        <v>370</v>
      </c>
      <c r="F33" s="54"/>
      <c r="G33" s="54"/>
    </row>
    <row r="34" spans="2:7" s="45" customFormat="1" x14ac:dyDescent="0.35">
      <c r="B34" s="410"/>
      <c r="C34" s="46">
        <v>3</v>
      </c>
      <c r="D34" s="99" t="s">
        <v>371</v>
      </c>
      <c r="E34" s="47"/>
      <c r="F34" s="54"/>
      <c r="G34" s="54"/>
    </row>
    <row r="35" spans="2:7" s="45" customFormat="1" x14ac:dyDescent="0.35">
      <c r="B35" s="410"/>
      <c r="C35" s="46">
        <v>4</v>
      </c>
      <c r="D35" s="99" t="s">
        <v>372</v>
      </c>
      <c r="E35" s="47"/>
      <c r="F35" s="54"/>
      <c r="G35" s="54"/>
    </row>
    <row r="36" spans="2:7" s="45" customFormat="1" ht="15" thickBot="1" x14ac:dyDescent="0.4">
      <c r="B36" s="410"/>
      <c r="C36" s="48">
        <v>5</v>
      </c>
      <c r="D36" s="100" t="s">
        <v>373</v>
      </c>
      <c r="E36" s="49"/>
      <c r="F36" s="54"/>
      <c r="G36" s="54"/>
    </row>
    <row r="37" spans="2:7" s="45" customFormat="1" ht="15" thickBot="1" x14ac:dyDescent="0.4">
      <c r="B37" s="411"/>
      <c r="C37" s="50"/>
      <c r="D37" s="101" t="s">
        <v>335</v>
      </c>
      <c r="E37" s="51"/>
      <c r="F37" s="54"/>
      <c r="G37" s="54"/>
    </row>
    <row r="38" spans="2:7" ht="12.75" customHeight="1" x14ac:dyDescent="0.35">
      <c r="B38" s="55"/>
      <c r="C38" s="56"/>
      <c r="D38" s="55" t="s">
        <v>370</v>
      </c>
    </row>
  </sheetData>
  <mergeCells count="10">
    <mergeCell ref="B14:B19"/>
    <mergeCell ref="B20:B25"/>
    <mergeCell ref="B26:B31"/>
    <mergeCell ref="B32:B37"/>
    <mergeCell ref="B2:D2"/>
    <mergeCell ref="F2:I2"/>
    <mergeCell ref="B3:C3"/>
    <mergeCell ref="F3:G3"/>
    <mergeCell ref="B4:D5"/>
    <mergeCell ref="B8:B13"/>
  </mergeCells>
  <conditionalFormatting sqref="D6">
    <cfRule type="cellIs" dxfId="34" priority="1" operator="greaterThan">
      <formula>21</formula>
    </cfRule>
    <cfRule type="cellIs" dxfId="33" priority="2" operator="between">
      <formula>21</formula>
      <formula>30</formula>
    </cfRule>
    <cfRule type="cellIs" dxfId="32" priority="3" operator="between">
      <formula>11</formula>
      <formula>20</formula>
    </cfRule>
    <cfRule type="cellIs" dxfId="31" priority="4" operator="between">
      <formula>1</formula>
      <formula>10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287D-6D3A-4DC1-AA4B-0445BEE030F7}">
  <sheetPr>
    <tabColor rgb="FFFFC000"/>
  </sheetPr>
  <dimension ref="B1:I38"/>
  <sheetViews>
    <sheetView showGridLines="0" zoomScale="90" zoomScaleNormal="90" workbookViewId="0">
      <selection sqref="A1:XFD1048576"/>
    </sheetView>
  </sheetViews>
  <sheetFormatPr defaultColWidth="9.1796875" defaultRowHeight="14.5" x14ac:dyDescent="0.35"/>
  <cols>
    <col min="1" max="1" width="3.1796875" customWidth="1"/>
    <col min="2" max="2" width="30.7265625" customWidth="1"/>
    <col min="3" max="3" width="12" customWidth="1"/>
    <col min="4" max="4" width="62.1796875" customWidth="1"/>
    <col min="5" max="5" width="47.453125" customWidth="1"/>
    <col min="6" max="7" width="9.1796875" style="57"/>
    <col min="8" max="8" width="15.54296875" customWidth="1"/>
    <col min="9" max="9" width="70.26953125" bestFit="1" customWidth="1"/>
  </cols>
  <sheetData>
    <row r="1" spans="2:9" ht="15" thickBot="1" x14ac:dyDescent="0.4"/>
    <row r="2" spans="2:9" ht="21" x14ac:dyDescent="0.4">
      <c r="B2" s="402" t="s">
        <v>326</v>
      </c>
      <c r="C2" s="402"/>
      <c r="D2" s="402"/>
      <c r="F2" s="399" t="s">
        <v>327</v>
      </c>
      <c r="G2" s="400"/>
      <c r="H2" s="400"/>
      <c r="I2" s="401"/>
    </row>
    <row r="3" spans="2:9" ht="18" x14ac:dyDescent="0.4">
      <c r="B3" s="402"/>
      <c r="C3" s="402"/>
      <c r="D3" s="19"/>
      <c r="F3" s="403" t="s">
        <v>328</v>
      </c>
      <c r="G3" s="404"/>
      <c r="H3" s="20" t="s">
        <v>0</v>
      </c>
      <c r="I3" s="21" t="s">
        <v>329</v>
      </c>
    </row>
    <row r="4" spans="2:9" x14ac:dyDescent="0.35">
      <c r="B4" s="405" t="s">
        <v>330</v>
      </c>
      <c r="C4" s="405"/>
      <c r="D4" s="405"/>
      <c r="F4" s="22">
        <v>1</v>
      </c>
      <c r="G4" s="23">
        <v>10</v>
      </c>
      <c r="H4" s="24" t="s">
        <v>331</v>
      </c>
      <c r="I4" s="25" t="s">
        <v>332</v>
      </c>
    </row>
    <row r="5" spans="2:9" ht="29.5" thickBot="1" x14ac:dyDescent="0.4">
      <c r="B5" s="406"/>
      <c r="C5" s="406"/>
      <c r="D5" s="406"/>
      <c r="F5" s="26">
        <v>11</v>
      </c>
      <c r="G5" s="27">
        <v>16</v>
      </c>
      <c r="H5" s="28" t="s">
        <v>333</v>
      </c>
      <c r="I5" s="29" t="s">
        <v>334</v>
      </c>
    </row>
    <row r="6" spans="2:9" ht="29.5" thickBot="1" x14ac:dyDescent="0.4">
      <c r="B6" s="30"/>
      <c r="C6" s="31" t="s">
        <v>335</v>
      </c>
      <c r="D6" s="32">
        <f>SUM(C13+C19+C25+C31+C37)</f>
        <v>0</v>
      </c>
      <c r="F6" s="33">
        <v>17</v>
      </c>
      <c r="G6" s="34">
        <v>20</v>
      </c>
      <c r="H6" s="35" t="s">
        <v>336</v>
      </c>
      <c r="I6" s="29" t="s">
        <v>337</v>
      </c>
    </row>
    <row r="7" spans="2:9" ht="15" thickBot="1" x14ac:dyDescent="0.4">
      <c r="B7" s="36" t="s">
        <v>338</v>
      </c>
      <c r="C7" s="37" t="s">
        <v>339</v>
      </c>
      <c r="D7" s="38" t="s">
        <v>340</v>
      </c>
      <c r="E7" s="39" t="s">
        <v>329</v>
      </c>
      <c r="F7" s="40">
        <v>21</v>
      </c>
      <c r="G7" s="41">
        <v>50</v>
      </c>
      <c r="H7" s="42" t="s">
        <v>341</v>
      </c>
      <c r="I7" s="29" t="s">
        <v>342</v>
      </c>
    </row>
    <row r="8" spans="2:9" s="45" customFormat="1" x14ac:dyDescent="0.35">
      <c r="B8" s="407" t="s">
        <v>343</v>
      </c>
      <c r="C8" s="43">
        <v>1</v>
      </c>
      <c r="D8" s="98" t="s">
        <v>344</v>
      </c>
      <c r="E8" s="44"/>
    </row>
    <row r="9" spans="2:9" s="45" customFormat="1" x14ac:dyDescent="0.35">
      <c r="B9" s="407"/>
      <c r="C9" s="46">
        <v>2</v>
      </c>
      <c r="D9" s="99" t="s">
        <v>345</v>
      </c>
      <c r="E9" s="47"/>
    </row>
    <row r="10" spans="2:9" s="45" customFormat="1" x14ac:dyDescent="0.35">
      <c r="B10" s="407"/>
      <c r="C10" s="46">
        <v>3</v>
      </c>
      <c r="D10" s="99" t="s">
        <v>346</v>
      </c>
      <c r="E10" s="47"/>
    </row>
    <row r="11" spans="2:9" s="45" customFormat="1" ht="25" x14ac:dyDescent="0.35">
      <c r="B11" s="407"/>
      <c r="C11" s="46">
        <v>4</v>
      </c>
      <c r="D11" s="99" t="s">
        <v>347</v>
      </c>
      <c r="E11" s="47"/>
    </row>
    <row r="12" spans="2:9" s="45" customFormat="1" ht="15" thickBot="1" x14ac:dyDescent="0.4">
      <c r="B12" s="407"/>
      <c r="C12" s="48">
        <v>5</v>
      </c>
      <c r="D12" s="100" t="s">
        <v>348</v>
      </c>
      <c r="E12" s="49"/>
    </row>
    <row r="13" spans="2:9" s="45" customFormat="1" ht="15" thickBot="1" x14ac:dyDescent="0.4">
      <c r="B13" s="408"/>
      <c r="C13" s="50"/>
      <c r="D13" s="101" t="s">
        <v>335</v>
      </c>
      <c r="E13" s="51"/>
    </row>
    <row r="14" spans="2:9" s="45" customFormat="1" x14ac:dyDescent="0.35">
      <c r="B14" s="409" t="s">
        <v>349</v>
      </c>
      <c r="C14" s="52">
        <v>1</v>
      </c>
      <c r="D14" s="102" t="s">
        <v>350</v>
      </c>
      <c r="E14" s="53"/>
      <c r="F14" s="54"/>
      <c r="G14" s="54"/>
    </row>
    <row r="15" spans="2:9" s="45" customFormat="1" x14ac:dyDescent="0.35">
      <c r="B15" s="410"/>
      <c r="C15" s="46">
        <v>2</v>
      </c>
      <c r="D15" s="99" t="s">
        <v>351</v>
      </c>
      <c r="E15" s="47"/>
      <c r="F15" s="54"/>
      <c r="G15" s="54"/>
    </row>
    <row r="16" spans="2:9" s="45" customFormat="1" ht="25" x14ac:dyDescent="0.35">
      <c r="B16" s="410"/>
      <c r="C16" s="46">
        <v>3</v>
      </c>
      <c r="D16" s="99" t="s">
        <v>352</v>
      </c>
      <c r="E16" s="47"/>
      <c r="F16" s="54"/>
      <c r="G16" s="54"/>
    </row>
    <row r="17" spans="2:7" s="45" customFormat="1" x14ac:dyDescent="0.35">
      <c r="B17" s="410"/>
      <c r="C17" s="46">
        <v>4</v>
      </c>
      <c r="D17" s="99" t="s">
        <v>353</v>
      </c>
      <c r="E17" s="47"/>
      <c r="F17" s="54"/>
      <c r="G17" s="54"/>
    </row>
    <row r="18" spans="2:7" s="45" customFormat="1" ht="30" customHeight="1" thickBot="1" x14ac:dyDescent="0.4">
      <c r="B18" s="410"/>
      <c r="C18" s="48">
        <v>5</v>
      </c>
      <c r="D18" s="100" t="s">
        <v>354</v>
      </c>
      <c r="E18" s="49"/>
      <c r="F18" s="54"/>
      <c r="G18" s="54"/>
    </row>
    <row r="19" spans="2:7" s="45" customFormat="1" ht="15" thickBot="1" x14ac:dyDescent="0.4">
      <c r="B19" s="411"/>
      <c r="C19" s="50"/>
      <c r="D19" s="101" t="s">
        <v>335</v>
      </c>
      <c r="E19" s="51"/>
      <c r="F19" s="54"/>
      <c r="G19" s="54"/>
    </row>
    <row r="20" spans="2:7" s="45" customFormat="1" x14ac:dyDescent="0.35">
      <c r="B20" s="409" t="s">
        <v>355</v>
      </c>
      <c r="C20" s="52">
        <v>1</v>
      </c>
      <c r="D20" s="102" t="s">
        <v>356</v>
      </c>
      <c r="E20" s="53"/>
      <c r="F20" s="54"/>
      <c r="G20" s="54"/>
    </row>
    <row r="21" spans="2:7" s="45" customFormat="1" ht="15" thickBot="1" x14ac:dyDescent="0.4">
      <c r="B21" s="410"/>
      <c r="C21" s="46">
        <v>2</v>
      </c>
      <c r="D21" s="99" t="s">
        <v>357</v>
      </c>
      <c r="E21" s="47"/>
      <c r="F21" s="54"/>
      <c r="G21" s="54"/>
    </row>
    <row r="22" spans="2:7" s="45" customFormat="1" x14ac:dyDescent="0.35">
      <c r="B22" s="410"/>
      <c r="C22" s="46">
        <v>3</v>
      </c>
      <c r="D22" s="99" t="s">
        <v>358</v>
      </c>
      <c r="E22" s="53"/>
      <c r="F22" s="54"/>
      <c r="G22" s="54"/>
    </row>
    <row r="23" spans="2:7" s="45" customFormat="1" ht="26" x14ac:dyDescent="0.35">
      <c r="B23" s="410"/>
      <c r="C23" s="46">
        <v>4</v>
      </c>
      <c r="D23" s="99" t="s">
        <v>359</v>
      </c>
      <c r="E23" s="47"/>
      <c r="F23" s="54"/>
      <c r="G23" s="54"/>
    </row>
    <row r="24" spans="2:7" s="45" customFormat="1" ht="26.5" thickBot="1" x14ac:dyDescent="0.4">
      <c r="B24" s="410"/>
      <c r="C24" s="48">
        <v>5</v>
      </c>
      <c r="D24" s="99" t="s">
        <v>360</v>
      </c>
      <c r="E24" s="49"/>
      <c r="F24" s="54"/>
      <c r="G24" s="54"/>
    </row>
    <row r="25" spans="2:7" s="45" customFormat="1" ht="15" thickBot="1" x14ac:dyDescent="0.4">
      <c r="B25" s="411"/>
      <c r="C25" s="50"/>
      <c r="D25" s="101" t="s">
        <v>335</v>
      </c>
      <c r="E25" s="51"/>
      <c r="F25" s="54"/>
      <c r="G25" s="54"/>
    </row>
    <row r="26" spans="2:7" s="45" customFormat="1" x14ac:dyDescent="0.35">
      <c r="B26" s="409" t="s">
        <v>361</v>
      </c>
      <c r="C26" s="52">
        <v>1</v>
      </c>
      <c r="D26" s="102" t="s">
        <v>362</v>
      </c>
      <c r="E26" s="53"/>
      <c r="F26" s="54"/>
      <c r="G26" s="54"/>
    </row>
    <row r="27" spans="2:7" s="45" customFormat="1" x14ac:dyDescent="0.35">
      <c r="B27" s="410"/>
      <c r="C27" s="46">
        <v>2</v>
      </c>
      <c r="D27" s="99" t="s">
        <v>363</v>
      </c>
      <c r="E27" s="47"/>
      <c r="F27" s="54"/>
      <c r="G27" s="54"/>
    </row>
    <row r="28" spans="2:7" s="45" customFormat="1" x14ac:dyDescent="0.35">
      <c r="B28" s="410"/>
      <c r="C28" s="46">
        <v>3</v>
      </c>
      <c r="D28" s="99" t="s">
        <v>364</v>
      </c>
      <c r="E28" s="47"/>
      <c r="F28" s="54"/>
      <c r="G28" s="54"/>
    </row>
    <row r="29" spans="2:7" s="45" customFormat="1" x14ac:dyDescent="0.35">
      <c r="B29" s="410"/>
      <c r="C29" s="46">
        <v>4</v>
      </c>
      <c r="D29" s="99" t="s">
        <v>365</v>
      </c>
      <c r="E29" s="47"/>
      <c r="F29" s="54"/>
      <c r="G29" s="54"/>
    </row>
    <row r="30" spans="2:7" s="45" customFormat="1" ht="15" thickBot="1" x14ac:dyDescent="0.4">
      <c r="B30" s="410"/>
      <c r="C30" s="48">
        <v>5</v>
      </c>
      <c r="D30" s="100" t="s">
        <v>366</v>
      </c>
      <c r="E30" s="49"/>
      <c r="F30" s="54"/>
      <c r="G30" s="54"/>
    </row>
    <row r="31" spans="2:7" s="45" customFormat="1" ht="15" thickBot="1" x14ac:dyDescent="0.4">
      <c r="B31" s="411"/>
      <c r="C31" s="50"/>
      <c r="D31" s="101" t="s">
        <v>335</v>
      </c>
      <c r="E31" s="51"/>
      <c r="F31" s="54"/>
      <c r="G31" s="54"/>
    </row>
    <row r="32" spans="2:7" s="45" customFormat="1" x14ac:dyDescent="0.35">
      <c r="B32" s="409" t="s">
        <v>367</v>
      </c>
      <c r="C32" s="52">
        <v>1</v>
      </c>
      <c r="D32" s="102" t="s">
        <v>368</v>
      </c>
      <c r="E32" s="53"/>
      <c r="F32" s="54"/>
      <c r="G32" s="54"/>
    </row>
    <row r="33" spans="2:7" s="45" customFormat="1" x14ac:dyDescent="0.35">
      <c r="B33" s="410"/>
      <c r="C33" s="46">
        <v>2</v>
      </c>
      <c r="D33" s="99" t="s">
        <v>369</v>
      </c>
      <c r="E33" s="47" t="s">
        <v>370</v>
      </c>
      <c r="F33" s="54"/>
      <c r="G33" s="54"/>
    </row>
    <row r="34" spans="2:7" s="45" customFormat="1" x14ac:dyDescent="0.35">
      <c r="B34" s="410"/>
      <c r="C34" s="46">
        <v>3</v>
      </c>
      <c r="D34" s="99" t="s">
        <v>371</v>
      </c>
      <c r="E34" s="47"/>
      <c r="F34" s="54"/>
      <c r="G34" s="54"/>
    </row>
    <row r="35" spans="2:7" s="45" customFormat="1" x14ac:dyDescent="0.35">
      <c r="B35" s="410"/>
      <c r="C35" s="46">
        <v>4</v>
      </c>
      <c r="D35" s="99" t="s">
        <v>372</v>
      </c>
      <c r="E35" s="47"/>
      <c r="F35" s="54"/>
      <c r="G35" s="54"/>
    </row>
    <row r="36" spans="2:7" s="45" customFormat="1" ht="15" thickBot="1" x14ac:dyDescent="0.4">
      <c r="B36" s="410"/>
      <c r="C36" s="48">
        <v>5</v>
      </c>
      <c r="D36" s="100" t="s">
        <v>373</v>
      </c>
      <c r="E36" s="49"/>
      <c r="F36" s="54"/>
      <c r="G36" s="54"/>
    </row>
    <row r="37" spans="2:7" s="45" customFormat="1" ht="15" thickBot="1" x14ac:dyDescent="0.4">
      <c r="B37" s="411"/>
      <c r="C37" s="50"/>
      <c r="D37" s="101" t="s">
        <v>335</v>
      </c>
      <c r="E37" s="51"/>
      <c r="F37" s="54"/>
      <c r="G37" s="54"/>
    </row>
    <row r="38" spans="2:7" ht="12.75" customHeight="1" x14ac:dyDescent="0.35">
      <c r="B38" s="55"/>
      <c r="C38" s="56"/>
      <c r="D38" s="55" t="s">
        <v>370</v>
      </c>
    </row>
  </sheetData>
  <mergeCells count="10">
    <mergeCell ref="B14:B19"/>
    <mergeCell ref="B20:B25"/>
    <mergeCell ref="B26:B31"/>
    <mergeCell ref="B32:B37"/>
    <mergeCell ref="B2:D2"/>
    <mergeCell ref="F2:I2"/>
    <mergeCell ref="B3:C3"/>
    <mergeCell ref="F3:G3"/>
    <mergeCell ref="B4:D5"/>
    <mergeCell ref="B8:B13"/>
  </mergeCells>
  <conditionalFormatting sqref="D6">
    <cfRule type="cellIs" dxfId="30" priority="1" operator="greaterThan">
      <formula>21</formula>
    </cfRule>
    <cfRule type="cellIs" dxfId="29" priority="2" operator="between">
      <formula>21</formula>
      <formula>30</formula>
    </cfRule>
    <cfRule type="cellIs" dxfId="28" priority="3" operator="between">
      <formula>11</formula>
      <formula>20</formula>
    </cfRule>
    <cfRule type="cellIs" dxfId="27" priority="4" operator="between">
      <formula>1</formula>
      <formula>10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CFAD0-CC7E-467D-AC1F-6E5F803EDB2E}">
  <sheetPr>
    <tabColor rgb="FFFFC000"/>
  </sheetPr>
  <dimension ref="B1:I38"/>
  <sheetViews>
    <sheetView showGridLines="0" zoomScale="90" zoomScaleNormal="90" workbookViewId="0">
      <selection sqref="A1:XFD1048576"/>
    </sheetView>
  </sheetViews>
  <sheetFormatPr defaultColWidth="9.1796875" defaultRowHeight="14.5" x14ac:dyDescent="0.35"/>
  <cols>
    <col min="1" max="1" width="3.1796875" customWidth="1"/>
    <col min="2" max="2" width="30.7265625" customWidth="1"/>
    <col min="3" max="3" width="12" customWidth="1"/>
    <col min="4" max="4" width="62.1796875" customWidth="1"/>
    <col min="5" max="5" width="47.453125" customWidth="1"/>
    <col min="6" max="7" width="9.1796875" style="57"/>
    <col min="8" max="8" width="15.54296875" customWidth="1"/>
    <col min="9" max="9" width="70.26953125" bestFit="1" customWidth="1"/>
  </cols>
  <sheetData>
    <row r="1" spans="2:9" ht="15" thickBot="1" x14ac:dyDescent="0.4"/>
    <row r="2" spans="2:9" ht="21" x14ac:dyDescent="0.4">
      <c r="B2" s="402" t="s">
        <v>326</v>
      </c>
      <c r="C2" s="402"/>
      <c r="D2" s="402"/>
      <c r="F2" s="399" t="s">
        <v>327</v>
      </c>
      <c r="G2" s="400"/>
      <c r="H2" s="400"/>
      <c r="I2" s="401"/>
    </row>
    <row r="3" spans="2:9" ht="18" x14ac:dyDescent="0.4">
      <c r="B3" s="402"/>
      <c r="C3" s="402"/>
      <c r="D3" s="19"/>
      <c r="F3" s="403" t="s">
        <v>328</v>
      </c>
      <c r="G3" s="404"/>
      <c r="H3" s="20" t="s">
        <v>0</v>
      </c>
      <c r="I3" s="21" t="s">
        <v>329</v>
      </c>
    </row>
    <row r="4" spans="2:9" x14ac:dyDescent="0.35">
      <c r="B4" s="405" t="s">
        <v>330</v>
      </c>
      <c r="C4" s="405"/>
      <c r="D4" s="405"/>
      <c r="F4" s="22">
        <v>1</v>
      </c>
      <c r="G4" s="23">
        <v>10</v>
      </c>
      <c r="H4" s="24" t="s">
        <v>331</v>
      </c>
      <c r="I4" s="25" t="s">
        <v>332</v>
      </c>
    </row>
    <row r="5" spans="2:9" ht="29.5" thickBot="1" x14ac:dyDescent="0.4">
      <c r="B5" s="406"/>
      <c r="C5" s="406"/>
      <c r="D5" s="406"/>
      <c r="F5" s="26">
        <v>11</v>
      </c>
      <c r="G5" s="27">
        <v>16</v>
      </c>
      <c r="H5" s="28" t="s">
        <v>333</v>
      </c>
      <c r="I5" s="29" t="s">
        <v>334</v>
      </c>
    </row>
    <row r="6" spans="2:9" ht="29.5" thickBot="1" x14ac:dyDescent="0.4">
      <c r="B6" s="30"/>
      <c r="C6" s="31" t="s">
        <v>335</v>
      </c>
      <c r="D6" s="32">
        <f>SUM(C13+C19+C25+C31+C37)</f>
        <v>0</v>
      </c>
      <c r="F6" s="33">
        <v>17</v>
      </c>
      <c r="G6" s="34">
        <v>20</v>
      </c>
      <c r="H6" s="35" t="s">
        <v>336</v>
      </c>
      <c r="I6" s="29" t="s">
        <v>337</v>
      </c>
    </row>
    <row r="7" spans="2:9" ht="15" thickBot="1" x14ac:dyDescent="0.4">
      <c r="B7" s="36" t="s">
        <v>338</v>
      </c>
      <c r="C7" s="37" t="s">
        <v>339</v>
      </c>
      <c r="D7" s="38" t="s">
        <v>340</v>
      </c>
      <c r="E7" s="39" t="s">
        <v>329</v>
      </c>
      <c r="F7" s="40">
        <v>21</v>
      </c>
      <c r="G7" s="41">
        <v>50</v>
      </c>
      <c r="H7" s="42" t="s">
        <v>341</v>
      </c>
      <c r="I7" s="29" t="s">
        <v>342</v>
      </c>
    </row>
    <row r="8" spans="2:9" s="45" customFormat="1" x14ac:dyDescent="0.35">
      <c r="B8" s="407" t="s">
        <v>343</v>
      </c>
      <c r="C8" s="43">
        <v>1</v>
      </c>
      <c r="D8" s="98" t="s">
        <v>344</v>
      </c>
      <c r="E8" s="44"/>
    </row>
    <row r="9" spans="2:9" s="45" customFormat="1" x14ac:dyDescent="0.35">
      <c r="B9" s="407"/>
      <c r="C9" s="46">
        <v>2</v>
      </c>
      <c r="D9" s="99" t="s">
        <v>345</v>
      </c>
      <c r="E9" s="47"/>
    </row>
    <row r="10" spans="2:9" s="45" customFormat="1" x14ac:dyDescent="0.35">
      <c r="B10" s="407"/>
      <c r="C10" s="46">
        <v>3</v>
      </c>
      <c r="D10" s="99" t="s">
        <v>346</v>
      </c>
      <c r="E10" s="47"/>
    </row>
    <row r="11" spans="2:9" s="45" customFormat="1" ht="25" x14ac:dyDescent="0.35">
      <c r="B11" s="407"/>
      <c r="C11" s="46">
        <v>4</v>
      </c>
      <c r="D11" s="99" t="s">
        <v>347</v>
      </c>
      <c r="E11" s="47"/>
    </row>
    <row r="12" spans="2:9" s="45" customFormat="1" ht="15" thickBot="1" x14ac:dyDescent="0.4">
      <c r="B12" s="407"/>
      <c r="C12" s="48">
        <v>5</v>
      </c>
      <c r="D12" s="100" t="s">
        <v>348</v>
      </c>
      <c r="E12" s="49"/>
    </row>
    <row r="13" spans="2:9" s="45" customFormat="1" ht="15" thickBot="1" x14ac:dyDescent="0.4">
      <c r="B13" s="408"/>
      <c r="C13" s="50"/>
      <c r="D13" s="101" t="s">
        <v>335</v>
      </c>
      <c r="E13" s="51"/>
    </row>
    <row r="14" spans="2:9" s="45" customFormat="1" x14ac:dyDescent="0.35">
      <c r="B14" s="409" t="s">
        <v>349</v>
      </c>
      <c r="C14" s="52">
        <v>1</v>
      </c>
      <c r="D14" s="102" t="s">
        <v>350</v>
      </c>
      <c r="E14" s="53"/>
      <c r="F14" s="54"/>
      <c r="G14" s="54"/>
    </row>
    <row r="15" spans="2:9" s="45" customFormat="1" x14ac:dyDescent="0.35">
      <c r="B15" s="410"/>
      <c r="C15" s="46">
        <v>2</v>
      </c>
      <c r="D15" s="99" t="s">
        <v>351</v>
      </c>
      <c r="E15" s="47"/>
      <c r="F15" s="54"/>
      <c r="G15" s="54"/>
    </row>
    <row r="16" spans="2:9" s="45" customFormat="1" ht="25" x14ac:dyDescent="0.35">
      <c r="B16" s="410"/>
      <c r="C16" s="46">
        <v>3</v>
      </c>
      <c r="D16" s="99" t="s">
        <v>352</v>
      </c>
      <c r="E16" s="47"/>
      <c r="F16" s="54"/>
      <c r="G16" s="54"/>
    </row>
    <row r="17" spans="2:7" s="45" customFormat="1" x14ac:dyDescent="0.35">
      <c r="B17" s="410"/>
      <c r="C17" s="46">
        <v>4</v>
      </c>
      <c r="D17" s="99" t="s">
        <v>353</v>
      </c>
      <c r="E17" s="47"/>
      <c r="F17" s="54"/>
      <c r="G17" s="54"/>
    </row>
    <row r="18" spans="2:7" s="45" customFormat="1" ht="30" customHeight="1" thickBot="1" x14ac:dyDescent="0.4">
      <c r="B18" s="410"/>
      <c r="C18" s="48">
        <v>5</v>
      </c>
      <c r="D18" s="100" t="s">
        <v>354</v>
      </c>
      <c r="E18" s="49"/>
      <c r="F18" s="54"/>
      <c r="G18" s="54"/>
    </row>
    <row r="19" spans="2:7" s="45" customFormat="1" ht="15" thickBot="1" x14ac:dyDescent="0.4">
      <c r="B19" s="411"/>
      <c r="C19" s="50"/>
      <c r="D19" s="101" t="s">
        <v>335</v>
      </c>
      <c r="E19" s="51"/>
      <c r="F19" s="54"/>
      <c r="G19" s="54"/>
    </row>
    <row r="20" spans="2:7" s="45" customFormat="1" x14ac:dyDescent="0.35">
      <c r="B20" s="409" t="s">
        <v>355</v>
      </c>
      <c r="C20" s="52">
        <v>1</v>
      </c>
      <c r="D20" s="102" t="s">
        <v>356</v>
      </c>
      <c r="E20" s="53"/>
      <c r="F20" s="54"/>
      <c r="G20" s="54"/>
    </row>
    <row r="21" spans="2:7" s="45" customFormat="1" ht="15" thickBot="1" x14ac:dyDescent="0.4">
      <c r="B21" s="410"/>
      <c r="C21" s="46">
        <v>2</v>
      </c>
      <c r="D21" s="99" t="s">
        <v>357</v>
      </c>
      <c r="E21" s="47"/>
      <c r="F21" s="54"/>
      <c r="G21" s="54"/>
    </row>
    <row r="22" spans="2:7" s="45" customFormat="1" x14ac:dyDescent="0.35">
      <c r="B22" s="410"/>
      <c r="C22" s="46">
        <v>3</v>
      </c>
      <c r="D22" s="99" t="s">
        <v>358</v>
      </c>
      <c r="E22" s="53"/>
      <c r="F22" s="54"/>
      <c r="G22" s="54"/>
    </row>
    <row r="23" spans="2:7" s="45" customFormat="1" ht="26" x14ac:dyDescent="0.35">
      <c r="B23" s="410"/>
      <c r="C23" s="46">
        <v>4</v>
      </c>
      <c r="D23" s="99" t="s">
        <v>359</v>
      </c>
      <c r="E23" s="47"/>
      <c r="F23" s="54"/>
      <c r="G23" s="54"/>
    </row>
    <row r="24" spans="2:7" s="45" customFormat="1" ht="26.5" thickBot="1" x14ac:dyDescent="0.4">
      <c r="B24" s="410"/>
      <c r="C24" s="48">
        <v>5</v>
      </c>
      <c r="D24" s="99" t="s">
        <v>360</v>
      </c>
      <c r="E24" s="49"/>
      <c r="F24" s="54"/>
      <c r="G24" s="54"/>
    </row>
    <row r="25" spans="2:7" s="45" customFormat="1" ht="15" thickBot="1" x14ac:dyDescent="0.4">
      <c r="B25" s="411"/>
      <c r="C25" s="50"/>
      <c r="D25" s="101" t="s">
        <v>335</v>
      </c>
      <c r="E25" s="51"/>
      <c r="F25" s="54"/>
      <c r="G25" s="54"/>
    </row>
    <row r="26" spans="2:7" s="45" customFormat="1" x14ac:dyDescent="0.35">
      <c r="B26" s="409" t="s">
        <v>361</v>
      </c>
      <c r="C26" s="52">
        <v>1</v>
      </c>
      <c r="D26" s="102" t="s">
        <v>362</v>
      </c>
      <c r="E26" s="53"/>
      <c r="F26" s="54"/>
      <c r="G26" s="54"/>
    </row>
    <row r="27" spans="2:7" s="45" customFormat="1" x14ac:dyDescent="0.35">
      <c r="B27" s="410"/>
      <c r="C27" s="46">
        <v>2</v>
      </c>
      <c r="D27" s="99" t="s">
        <v>363</v>
      </c>
      <c r="E27" s="47"/>
      <c r="F27" s="54"/>
      <c r="G27" s="54"/>
    </row>
    <row r="28" spans="2:7" s="45" customFormat="1" x14ac:dyDescent="0.35">
      <c r="B28" s="410"/>
      <c r="C28" s="46">
        <v>3</v>
      </c>
      <c r="D28" s="99" t="s">
        <v>364</v>
      </c>
      <c r="E28" s="47"/>
      <c r="F28" s="54"/>
      <c r="G28" s="54"/>
    </row>
    <row r="29" spans="2:7" s="45" customFormat="1" x14ac:dyDescent="0.35">
      <c r="B29" s="410"/>
      <c r="C29" s="46">
        <v>4</v>
      </c>
      <c r="D29" s="99" t="s">
        <v>365</v>
      </c>
      <c r="E29" s="47"/>
      <c r="F29" s="54"/>
      <c r="G29" s="54"/>
    </row>
    <row r="30" spans="2:7" s="45" customFormat="1" ht="15" thickBot="1" x14ac:dyDescent="0.4">
      <c r="B30" s="410"/>
      <c r="C30" s="48">
        <v>5</v>
      </c>
      <c r="D30" s="100" t="s">
        <v>366</v>
      </c>
      <c r="E30" s="49"/>
      <c r="F30" s="54"/>
      <c r="G30" s="54"/>
    </row>
    <row r="31" spans="2:7" s="45" customFormat="1" ht="15" thickBot="1" x14ac:dyDescent="0.4">
      <c r="B31" s="411"/>
      <c r="C31" s="50"/>
      <c r="D31" s="101" t="s">
        <v>335</v>
      </c>
      <c r="E31" s="51"/>
      <c r="F31" s="54"/>
      <c r="G31" s="54"/>
    </row>
    <row r="32" spans="2:7" s="45" customFormat="1" x14ac:dyDescent="0.35">
      <c r="B32" s="409" t="s">
        <v>367</v>
      </c>
      <c r="C32" s="52">
        <v>1</v>
      </c>
      <c r="D32" s="102" t="s">
        <v>368</v>
      </c>
      <c r="E32" s="53"/>
      <c r="F32" s="54"/>
      <c r="G32" s="54"/>
    </row>
    <row r="33" spans="2:7" s="45" customFormat="1" x14ac:dyDescent="0.35">
      <c r="B33" s="410"/>
      <c r="C33" s="46">
        <v>2</v>
      </c>
      <c r="D33" s="99" t="s">
        <v>369</v>
      </c>
      <c r="E33" s="47" t="s">
        <v>370</v>
      </c>
      <c r="F33" s="54"/>
      <c r="G33" s="54"/>
    </row>
    <row r="34" spans="2:7" s="45" customFormat="1" x14ac:dyDescent="0.35">
      <c r="B34" s="410"/>
      <c r="C34" s="46">
        <v>3</v>
      </c>
      <c r="D34" s="99" t="s">
        <v>371</v>
      </c>
      <c r="E34" s="47"/>
      <c r="F34" s="54"/>
      <c r="G34" s="54"/>
    </row>
    <row r="35" spans="2:7" s="45" customFormat="1" x14ac:dyDescent="0.35">
      <c r="B35" s="410"/>
      <c r="C35" s="46">
        <v>4</v>
      </c>
      <c r="D35" s="99" t="s">
        <v>372</v>
      </c>
      <c r="E35" s="47"/>
      <c r="F35" s="54"/>
      <c r="G35" s="54"/>
    </row>
    <row r="36" spans="2:7" s="45" customFormat="1" ht="15" thickBot="1" x14ac:dyDescent="0.4">
      <c r="B36" s="410"/>
      <c r="C36" s="48">
        <v>5</v>
      </c>
      <c r="D36" s="100" t="s">
        <v>373</v>
      </c>
      <c r="E36" s="49"/>
      <c r="F36" s="54"/>
      <c r="G36" s="54"/>
    </row>
    <row r="37" spans="2:7" s="45" customFormat="1" ht="15" thickBot="1" x14ac:dyDescent="0.4">
      <c r="B37" s="411"/>
      <c r="C37" s="50"/>
      <c r="D37" s="101" t="s">
        <v>335</v>
      </c>
      <c r="E37" s="51"/>
      <c r="F37" s="54"/>
      <c r="G37" s="54"/>
    </row>
    <row r="38" spans="2:7" ht="12.75" customHeight="1" x14ac:dyDescent="0.35">
      <c r="B38" s="55"/>
      <c r="C38" s="56"/>
      <c r="D38" s="55" t="s">
        <v>370</v>
      </c>
    </row>
  </sheetData>
  <mergeCells count="10">
    <mergeCell ref="B14:B19"/>
    <mergeCell ref="B20:B25"/>
    <mergeCell ref="B26:B31"/>
    <mergeCell ref="B32:B37"/>
    <mergeCell ref="B2:D2"/>
    <mergeCell ref="F2:I2"/>
    <mergeCell ref="B3:C3"/>
    <mergeCell ref="F3:G3"/>
    <mergeCell ref="B4:D5"/>
    <mergeCell ref="B8:B13"/>
  </mergeCells>
  <conditionalFormatting sqref="D6">
    <cfRule type="cellIs" dxfId="26" priority="1" operator="greaterThan">
      <formula>21</formula>
    </cfRule>
    <cfRule type="cellIs" dxfId="25" priority="2" operator="between">
      <formula>21</formula>
      <formula>30</formula>
    </cfRule>
    <cfRule type="cellIs" dxfId="24" priority="3" operator="between">
      <formula>11</formula>
      <formula>20</formula>
    </cfRule>
    <cfRule type="cellIs" dxfId="23" priority="4" operator="between">
      <formula>1</formula>
      <formula>10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A478A-3CC7-4501-943E-F874E2DFABBC}">
  <sheetPr>
    <tabColor rgb="FFFFC000"/>
  </sheetPr>
  <dimension ref="B1:I38"/>
  <sheetViews>
    <sheetView showGridLines="0" zoomScale="90" zoomScaleNormal="90" workbookViewId="0">
      <selection sqref="A1:XFD1048576"/>
    </sheetView>
  </sheetViews>
  <sheetFormatPr defaultColWidth="9.1796875" defaultRowHeight="14.5" x14ac:dyDescent="0.35"/>
  <cols>
    <col min="1" max="1" width="3.1796875" customWidth="1"/>
    <col min="2" max="2" width="30.7265625" customWidth="1"/>
    <col min="3" max="3" width="12" customWidth="1"/>
    <col min="4" max="4" width="62.1796875" customWidth="1"/>
    <col min="5" max="5" width="47.453125" customWidth="1"/>
    <col min="6" max="7" width="9.1796875" style="57"/>
    <col min="8" max="8" width="15.54296875" customWidth="1"/>
    <col min="9" max="9" width="70.26953125" bestFit="1" customWidth="1"/>
  </cols>
  <sheetData>
    <row r="1" spans="2:9" ht="15" thickBot="1" x14ac:dyDescent="0.4"/>
    <row r="2" spans="2:9" ht="21" x14ac:dyDescent="0.4">
      <c r="B2" s="402" t="s">
        <v>326</v>
      </c>
      <c r="C2" s="402"/>
      <c r="D2" s="402"/>
      <c r="F2" s="399" t="s">
        <v>327</v>
      </c>
      <c r="G2" s="400"/>
      <c r="H2" s="400"/>
      <c r="I2" s="401"/>
    </row>
    <row r="3" spans="2:9" ht="18" x14ac:dyDescent="0.4">
      <c r="B3" s="402"/>
      <c r="C3" s="402"/>
      <c r="D3" s="19"/>
      <c r="F3" s="403" t="s">
        <v>328</v>
      </c>
      <c r="G3" s="404"/>
      <c r="H3" s="20" t="s">
        <v>0</v>
      </c>
      <c r="I3" s="21" t="s">
        <v>329</v>
      </c>
    </row>
    <row r="4" spans="2:9" x14ac:dyDescent="0.35">
      <c r="B4" s="405" t="s">
        <v>330</v>
      </c>
      <c r="C4" s="405"/>
      <c r="D4" s="405"/>
      <c r="F4" s="22">
        <v>1</v>
      </c>
      <c r="G4" s="23">
        <v>10</v>
      </c>
      <c r="H4" s="24" t="s">
        <v>331</v>
      </c>
      <c r="I4" s="25" t="s">
        <v>332</v>
      </c>
    </row>
    <row r="5" spans="2:9" ht="29.5" thickBot="1" x14ac:dyDescent="0.4">
      <c r="B5" s="406"/>
      <c r="C5" s="406"/>
      <c r="D5" s="406"/>
      <c r="F5" s="26">
        <v>11</v>
      </c>
      <c r="G5" s="27">
        <v>16</v>
      </c>
      <c r="H5" s="28" t="s">
        <v>333</v>
      </c>
      <c r="I5" s="29" t="s">
        <v>334</v>
      </c>
    </row>
    <row r="6" spans="2:9" ht="29.5" thickBot="1" x14ac:dyDescent="0.4">
      <c r="B6" s="30"/>
      <c r="C6" s="31" t="s">
        <v>335</v>
      </c>
      <c r="D6" s="32">
        <f>SUM(C13+C19+C25+C31+C37)</f>
        <v>0</v>
      </c>
      <c r="F6" s="33">
        <v>17</v>
      </c>
      <c r="G6" s="34">
        <v>20</v>
      </c>
      <c r="H6" s="35" t="s">
        <v>336</v>
      </c>
      <c r="I6" s="29" t="s">
        <v>337</v>
      </c>
    </row>
    <row r="7" spans="2:9" ht="15" thickBot="1" x14ac:dyDescent="0.4">
      <c r="B7" s="36" t="s">
        <v>338</v>
      </c>
      <c r="C7" s="37" t="s">
        <v>339</v>
      </c>
      <c r="D7" s="38" t="s">
        <v>340</v>
      </c>
      <c r="E7" s="39" t="s">
        <v>329</v>
      </c>
      <c r="F7" s="40">
        <v>21</v>
      </c>
      <c r="G7" s="41">
        <v>50</v>
      </c>
      <c r="H7" s="42" t="s">
        <v>341</v>
      </c>
      <c r="I7" s="29" t="s">
        <v>342</v>
      </c>
    </row>
    <row r="8" spans="2:9" s="45" customFormat="1" x14ac:dyDescent="0.35">
      <c r="B8" s="407" t="s">
        <v>343</v>
      </c>
      <c r="C8" s="43">
        <v>1</v>
      </c>
      <c r="D8" s="98" t="s">
        <v>344</v>
      </c>
      <c r="E8" s="44"/>
    </row>
    <row r="9" spans="2:9" s="45" customFormat="1" x14ac:dyDescent="0.35">
      <c r="B9" s="407"/>
      <c r="C9" s="46">
        <v>2</v>
      </c>
      <c r="D9" s="99" t="s">
        <v>345</v>
      </c>
      <c r="E9" s="47"/>
    </row>
    <row r="10" spans="2:9" s="45" customFormat="1" x14ac:dyDescent="0.35">
      <c r="B10" s="407"/>
      <c r="C10" s="46">
        <v>3</v>
      </c>
      <c r="D10" s="99" t="s">
        <v>346</v>
      </c>
      <c r="E10" s="47"/>
    </row>
    <row r="11" spans="2:9" s="45" customFormat="1" ht="25" x14ac:dyDescent="0.35">
      <c r="B11" s="407"/>
      <c r="C11" s="46">
        <v>4</v>
      </c>
      <c r="D11" s="99" t="s">
        <v>347</v>
      </c>
      <c r="E11" s="47"/>
    </row>
    <row r="12" spans="2:9" s="45" customFormat="1" ht="15" thickBot="1" x14ac:dyDescent="0.4">
      <c r="B12" s="407"/>
      <c r="C12" s="48">
        <v>5</v>
      </c>
      <c r="D12" s="100" t="s">
        <v>348</v>
      </c>
      <c r="E12" s="49"/>
    </row>
    <row r="13" spans="2:9" s="45" customFormat="1" ht="15" thickBot="1" x14ac:dyDescent="0.4">
      <c r="B13" s="408"/>
      <c r="C13" s="50"/>
      <c r="D13" s="101" t="s">
        <v>335</v>
      </c>
      <c r="E13" s="51"/>
    </row>
    <row r="14" spans="2:9" s="45" customFormat="1" x14ac:dyDescent="0.35">
      <c r="B14" s="409" t="s">
        <v>349</v>
      </c>
      <c r="C14" s="52">
        <v>1</v>
      </c>
      <c r="D14" s="102" t="s">
        <v>350</v>
      </c>
      <c r="E14" s="53"/>
      <c r="F14" s="54"/>
      <c r="G14" s="54"/>
    </row>
    <row r="15" spans="2:9" s="45" customFormat="1" x14ac:dyDescent="0.35">
      <c r="B15" s="410"/>
      <c r="C15" s="46">
        <v>2</v>
      </c>
      <c r="D15" s="99" t="s">
        <v>351</v>
      </c>
      <c r="E15" s="47"/>
      <c r="F15" s="54"/>
      <c r="G15" s="54"/>
    </row>
    <row r="16" spans="2:9" s="45" customFormat="1" ht="25" x14ac:dyDescent="0.35">
      <c r="B16" s="410"/>
      <c r="C16" s="46">
        <v>3</v>
      </c>
      <c r="D16" s="99" t="s">
        <v>352</v>
      </c>
      <c r="E16" s="47"/>
      <c r="F16" s="54"/>
      <c r="G16" s="54"/>
    </row>
    <row r="17" spans="2:7" s="45" customFormat="1" x14ac:dyDescent="0.35">
      <c r="B17" s="410"/>
      <c r="C17" s="46">
        <v>4</v>
      </c>
      <c r="D17" s="99" t="s">
        <v>353</v>
      </c>
      <c r="E17" s="47"/>
      <c r="F17" s="54"/>
      <c r="G17" s="54"/>
    </row>
    <row r="18" spans="2:7" s="45" customFormat="1" ht="30" customHeight="1" thickBot="1" x14ac:dyDescent="0.4">
      <c r="B18" s="410"/>
      <c r="C18" s="48">
        <v>5</v>
      </c>
      <c r="D18" s="100" t="s">
        <v>354</v>
      </c>
      <c r="E18" s="49"/>
      <c r="F18" s="54"/>
      <c r="G18" s="54"/>
    </row>
    <row r="19" spans="2:7" s="45" customFormat="1" ht="15" thickBot="1" x14ac:dyDescent="0.4">
      <c r="B19" s="411"/>
      <c r="C19" s="50"/>
      <c r="D19" s="101" t="s">
        <v>335</v>
      </c>
      <c r="E19" s="51"/>
      <c r="F19" s="54"/>
      <c r="G19" s="54"/>
    </row>
    <row r="20" spans="2:7" s="45" customFormat="1" x14ac:dyDescent="0.35">
      <c r="B20" s="409" t="s">
        <v>355</v>
      </c>
      <c r="C20" s="52">
        <v>1</v>
      </c>
      <c r="D20" s="102" t="s">
        <v>356</v>
      </c>
      <c r="E20" s="53"/>
      <c r="F20" s="54"/>
      <c r="G20" s="54"/>
    </row>
    <row r="21" spans="2:7" s="45" customFormat="1" ht="15" thickBot="1" x14ac:dyDescent="0.4">
      <c r="B21" s="410"/>
      <c r="C21" s="46">
        <v>2</v>
      </c>
      <c r="D21" s="99" t="s">
        <v>357</v>
      </c>
      <c r="E21" s="47"/>
      <c r="F21" s="54"/>
      <c r="G21" s="54"/>
    </row>
    <row r="22" spans="2:7" s="45" customFormat="1" x14ac:dyDescent="0.35">
      <c r="B22" s="410"/>
      <c r="C22" s="46">
        <v>3</v>
      </c>
      <c r="D22" s="99" t="s">
        <v>358</v>
      </c>
      <c r="E22" s="53"/>
      <c r="F22" s="54"/>
      <c r="G22" s="54"/>
    </row>
    <row r="23" spans="2:7" s="45" customFormat="1" ht="26" x14ac:dyDescent="0.35">
      <c r="B23" s="410"/>
      <c r="C23" s="46">
        <v>4</v>
      </c>
      <c r="D23" s="99" t="s">
        <v>359</v>
      </c>
      <c r="E23" s="47"/>
      <c r="F23" s="54"/>
      <c r="G23" s="54"/>
    </row>
    <row r="24" spans="2:7" s="45" customFormat="1" ht="26.5" thickBot="1" x14ac:dyDescent="0.4">
      <c r="B24" s="410"/>
      <c r="C24" s="48">
        <v>5</v>
      </c>
      <c r="D24" s="99" t="s">
        <v>360</v>
      </c>
      <c r="E24" s="49"/>
      <c r="F24" s="54"/>
      <c r="G24" s="54"/>
    </row>
    <row r="25" spans="2:7" s="45" customFormat="1" ht="15" thickBot="1" x14ac:dyDescent="0.4">
      <c r="B25" s="411"/>
      <c r="C25" s="50"/>
      <c r="D25" s="101" t="s">
        <v>335</v>
      </c>
      <c r="E25" s="51"/>
      <c r="F25" s="54"/>
      <c r="G25" s="54"/>
    </row>
    <row r="26" spans="2:7" s="45" customFormat="1" x14ac:dyDescent="0.35">
      <c r="B26" s="409" t="s">
        <v>361</v>
      </c>
      <c r="C26" s="52">
        <v>1</v>
      </c>
      <c r="D26" s="102" t="s">
        <v>362</v>
      </c>
      <c r="E26" s="53"/>
      <c r="F26" s="54"/>
      <c r="G26" s="54"/>
    </row>
    <row r="27" spans="2:7" s="45" customFormat="1" x14ac:dyDescent="0.35">
      <c r="B27" s="410"/>
      <c r="C27" s="46">
        <v>2</v>
      </c>
      <c r="D27" s="99" t="s">
        <v>363</v>
      </c>
      <c r="E27" s="47"/>
      <c r="F27" s="54"/>
      <c r="G27" s="54"/>
    </row>
    <row r="28" spans="2:7" s="45" customFormat="1" x14ac:dyDescent="0.35">
      <c r="B28" s="410"/>
      <c r="C28" s="46">
        <v>3</v>
      </c>
      <c r="D28" s="99" t="s">
        <v>364</v>
      </c>
      <c r="E28" s="47"/>
      <c r="F28" s="54"/>
      <c r="G28" s="54"/>
    </row>
    <row r="29" spans="2:7" s="45" customFormat="1" x14ac:dyDescent="0.35">
      <c r="B29" s="410"/>
      <c r="C29" s="46">
        <v>4</v>
      </c>
      <c r="D29" s="99" t="s">
        <v>365</v>
      </c>
      <c r="E29" s="47"/>
      <c r="F29" s="54"/>
      <c r="G29" s="54"/>
    </row>
    <row r="30" spans="2:7" s="45" customFormat="1" ht="15" thickBot="1" x14ac:dyDescent="0.4">
      <c r="B30" s="410"/>
      <c r="C30" s="48">
        <v>5</v>
      </c>
      <c r="D30" s="100" t="s">
        <v>366</v>
      </c>
      <c r="E30" s="49"/>
      <c r="F30" s="54"/>
      <c r="G30" s="54"/>
    </row>
    <row r="31" spans="2:7" s="45" customFormat="1" ht="15" thickBot="1" x14ac:dyDescent="0.4">
      <c r="B31" s="411"/>
      <c r="C31" s="50"/>
      <c r="D31" s="101" t="s">
        <v>335</v>
      </c>
      <c r="E31" s="51"/>
      <c r="F31" s="54"/>
      <c r="G31" s="54"/>
    </row>
    <row r="32" spans="2:7" s="45" customFormat="1" x14ac:dyDescent="0.35">
      <c r="B32" s="409" t="s">
        <v>367</v>
      </c>
      <c r="C32" s="52">
        <v>1</v>
      </c>
      <c r="D32" s="102" t="s">
        <v>368</v>
      </c>
      <c r="E32" s="53"/>
      <c r="F32" s="54"/>
      <c r="G32" s="54"/>
    </row>
    <row r="33" spans="2:7" s="45" customFormat="1" x14ac:dyDescent="0.35">
      <c r="B33" s="410"/>
      <c r="C33" s="46">
        <v>2</v>
      </c>
      <c r="D33" s="99" t="s">
        <v>369</v>
      </c>
      <c r="E33" s="47" t="s">
        <v>370</v>
      </c>
      <c r="F33" s="54"/>
      <c r="G33" s="54"/>
    </row>
    <row r="34" spans="2:7" s="45" customFormat="1" x14ac:dyDescent="0.35">
      <c r="B34" s="410"/>
      <c r="C34" s="46">
        <v>3</v>
      </c>
      <c r="D34" s="99" t="s">
        <v>371</v>
      </c>
      <c r="E34" s="47"/>
      <c r="F34" s="54"/>
      <c r="G34" s="54"/>
    </row>
    <row r="35" spans="2:7" s="45" customFormat="1" x14ac:dyDescent="0.35">
      <c r="B35" s="410"/>
      <c r="C35" s="46">
        <v>4</v>
      </c>
      <c r="D35" s="99" t="s">
        <v>372</v>
      </c>
      <c r="E35" s="47"/>
      <c r="F35" s="54"/>
      <c r="G35" s="54"/>
    </row>
    <row r="36" spans="2:7" s="45" customFormat="1" ht="15" thickBot="1" x14ac:dyDescent="0.4">
      <c r="B36" s="410"/>
      <c r="C36" s="48">
        <v>5</v>
      </c>
      <c r="D36" s="100" t="s">
        <v>373</v>
      </c>
      <c r="E36" s="49"/>
      <c r="F36" s="54"/>
      <c r="G36" s="54"/>
    </row>
    <row r="37" spans="2:7" s="45" customFormat="1" ht="15" thickBot="1" x14ac:dyDescent="0.4">
      <c r="B37" s="411"/>
      <c r="C37" s="50"/>
      <c r="D37" s="101" t="s">
        <v>335</v>
      </c>
      <c r="E37" s="51"/>
      <c r="F37" s="54"/>
      <c r="G37" s="54"/>
    </row>
    <row r="38" spans="2:7" ht="12.75" customHeight="1" x14ac:dyDescent="0.35">
      <c r="B38" s="55"/>
      <c r="C38" s="56"/>
      <c r="D38" s="55" t="s">
        <v>370</v>
      </c>
    </row>
  </sheetData>
  <mergeCells count="10">
    <mergeCell ref="B14:B19"/>
    <mergeCell ref="B20:B25"/>
    <mergeCell ref="B26:B31"/>
    <mergeCell ref="B32:B37"/>
    <mergeCell ref="B2:D2"/>
    <mergeCell ref="F2:I2"/>
    <mergeCell ref="B3:C3"/>
    <mergeCell ref="F3:G3"/>
    <mergeCell ref="B4:D5"/>
    <mergeCell ref="B8:B13"/>
  </mergeCells>
  <conditionalFormatting sqref="D6">
    <cfRule type="cellIs" dxfId="22" priority="1" operator="greaterThan">
      <formula>21</formula>
    </cfRule>
    <cfRule type="cellIs" dxfId="21" priority="2" operator="between">
      <formula>21</formula>
      <formula>30</formula>
    </cfRule>
    <cfRule type="cellIs" dxfId="20" priority="3" operator="between">
      <formula>11</formula>
      <formula>20</formula>
    </cfRule>
    <cfRule type="cellIs" dxfId="19" priority="4" operator="between">
      <formula>1</formula>
      <formula>10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E3727-42C8-4FCC-B486-434423128398}">
  <sheetPr>
    <tabColor rgb="FFFFC000"/>
  </sheetPr>
  <dimension ref="B1:I38"/>
  <sheetViews>
    <sheetView showGridLines="0" zoomScale="90" zoomScaleNormal="90" workbookViewId="0">
      <selection sqref="A1:XFD1048576"/>
    </sheetView>
  </sheetViews>
  <sheetFormatPr defaultColWidth="9.1796875" defaultRowHeight="14.5" x14ac:dyDescent="0.35"/>
  <cols>
    <col min="1" max="1" width="3.1796875" customWidth="1"/>
    <col min="2" max="2" width="30.7265625" customWidth="1"/>
    <col min="3" max="3" width="12" customWidth="1"/>
    <col min="4" max="4" width="62.1796875" customWidth="1"/>
    <col min="5" max="5" width="47.453125" customWidth="1"/>
    <col min="6" max="7" width="9.1796875" style="57"/>
    <col min="8" max="8" width="15.54296875" customWidth="1"/>
    <col min="9" max="9" width="70.26953125" bestFit="1" customWidth="1"/>
  </cols>
  <sheetData>
    <row r="1" spans="2:9" ht="15" thickBot="1" x14ac:dyDescent="0.4"/>
    <row r="2" spans="2:9" ht="21" x14ac:dyDescent="0.4">
      <c r="B2" s="402" t="s">
        <v>326</v>
      </c>
      <c r="C2" s="402"/>
      <c r="D2" s="402"/>
      <c r="F2" s="399" t="s">
        <v>327</v>
      </c>
      <c r="G2" s="400"/>
      <c r="H2" s="400"/>
      <c r="I2" s="401"/>
    </row>
    <row r="3" spans="2:9" ht="18" x14ac:dyDescent="0.4">
      <c r="B3" s="402"/>
      <c r="C3" s="402"/>
      <c r="D3" s="19"/>
      <c r="F3" s="403" t="s">
        <v>328</v>
      </c>
      <c r="G3" s="404"/>
      <c r="H3" s="20" t="s">
        <v>0</v>
      </c>
      <c r="I3" s="21" t="s">
        <v>329</v>
      </c>
    </row>
    <row r="4" spans="2:9" x14ac:dyDescent="0.35">
      <c r="B4" s="405" t="s">
        <v>330</v>
      </c>
      <c r="C4" s="405"/>
      <c r="D4" s="405"/>
      <c r="F4" s="22">
        <v>1</v>
      </c>
      <c r="G4" s="23">
        <v>10</v>
      </c>
      <c r="H4" s="24" t="s">
        <v>331</v>
      </c>
      <c r="I4" s="25" t="s">
        <v>332</v>
      </c>
    </row>
    <row r="5" spans="2:9" ht="29.5" thickBot="1" x14ac:dyDescent="0.4">
      <c r="B5" s="406"/>
      <c r="C5" s="406"/>
      <c r="D5" s="406"/>
      <c r="F5" s="26">
        <v>11</v>
      </c>
      <c r="G5" s="27">
        <v>16</v>
      </c>
      <c r="H5" s="28" t="s">
        <v>333</v>
      </c>
      <c r="I5" s="29" t="s">
        <v>334</v>
      </c>
    </row>
    <row r="6" spans="2:9" ht="29.5" thickBot="1" x14ac:dyDescent="0.4">
      <c r="B6" s="30"/>
      <c r="C6" s="31" t="s">
        <v>335</v>
      </c>
      <c r="D6" s="32">
        <f>SUM(C13+C19+C25+C31+C37)</f>
        <v>0</v>
      </c>
      <c r="F6" s="33">
        <v>17</v>
      </c>
      <c r="G6" s="34">
        <v>20</v>
      </c>
      <c r="H6" s="35" t="s">
        <v>336</v>
      </c>
      <c r="I6" s="29" t="s">
        <v>337</v>
      </c>
    </row>
    <row r="7" spans="2:9" ht="15" thickBot="1" x14ac:dyDescent="0.4">
      <c r="B7" s="36" t="s">
        <v>338</v>
      </c>
      <c r="C7" s="37" t="s">
        <v>339</v>
      </c>
      <c r="D7" s="38" t="s">
        <v>340</v>
      </c>
      <c r="E7" s="39" t="s">
        <v>329</v>
      </c>
      <c r="F7" s="40">
        <v>21</v>
      </c>
      <c r="G7" s="41">
        <v>50</v>
      </c>
      <c r="H7" s="42" t="s">
        <v>341</v>
      </c>
      <c r="I7" s="29" t="s">
        <v>342</v>
      </c>
    </row>
    <row r="8" spans="2:9" s="45" customFormat="1" x14ac:dyDescent="0.35">
      <c r="B8" s="407" t="s">
        <v>343</v>
      </c>
      <c r="C8" s="43">
        <v>1</v>
      </c>
      <c r="D8" s="98" t="s">
        <v>344</v>
      </c>
      <c r="E8" s="44"/>
    </row>
    <row r="9" spans="2:9" s="45" customFormat="1" x14ac:dyDescent="0.35">
      <c r="B9" s="407"/>
      <c r="C9" s="46">
        <v>2</v>
      </c>
      <c r="D9" s="99" t="s">
        <v>345</v>
      </c>
      <c r="E9" s="47"/>
    </row>
    <row r="10" spans="2:9" s="45" customFormat="1" x14ac:dyDescent="0.35">
      <c r="B10" s="407"/>
      <c r="C10" s="46">
        <v>3</v>
      </c>
      <c r="D10" s="99" t="s">
        <v>346</v>
      </c>
      <c r="E10" s="47"/>
    </row>
    <row r="11" spans="2:9" s="45" customFormat="1" ht="25" x14ac:dyDescent="0.35">
      <c r="B11" s="407"/>
      <c r="C11" s="46">
        <v>4</v>
      </c>
      <c r="D11" s="99" t="s">
        <v>347</v>
      </c>
      <c r="E11" s="47"/>
    </row>
    <row r="12" spans="2:9" s="45" customFormat="1" ht="15" thickBot="1" x14ac:dyDescent="0.4">
      <c r="B12" s="407"/>
      <c r="C12" s="48">
        <v>5</v>
      </c>
      <c r="D12" s="100" t="s">
        <v>348</v>
      </c>
      <c r="E12" s="49"/>
    </row>
    <row r="13" spans="2:9" s="45" customFormat="1" ht="15" thickBot="1" x14ac:dyDescent="0.4">
      <c r="B13" s="408"/>
      <c r="C13" s="50"/>
      <c r="D13" s="101" t="s">
        <v>335</v>
      </c>
      <c r="E13" s="51"/>
    </row>
    <row r="14" spans="2:9" s="45" customFormat="1" x14ac:dyDescent="0.35">
      <c r="B14" s="409" t="s">
        <v>349</v>
      </c>
      <c r="C14" s="52">
        <v>1</v>
      </c>
      <c r="D14" s="102" t="s">
        <v>350</v>
      </c>
      <c r="E14" s="53"/>
      <c r="F14" s="54"/>
      <c r="G14" s="54"/>
    </row>
    <row r="15" spans="2:9" s="45" customFormat="1" x14ac:dyDescent="0.35">
      <c r="B15" s="410"/>
      <c r="C15" s="46">
        <v>2</v>
      </c>
      <c r="D15" s="99" t="s">
        <v>351</v>
      </c>
      <c r="E15" s="47"/>
      <c r="F15" s="54"/>
      <c r="G15" s="54"/>
    </row>
    <row r="16" spans="2:9" s="45" customFormat="1" ht="25" x14ac:dyDescent="0.35">
      <c r="B16" s="410"/>
      <c r="C16" s="46">
        <v>3</v>
      </c>
      <c r="D16" s="99" t="s">
        <v>352</v>
      </c>
      <c r="E16" s="47"/>
      <c r="F16" s="54"/>
      <c r="G16" s="54"/>
    </row>
    <row r="17" spans="2:7" s="45" customFormat="1" x14ac:dyDescent="0.35">
      <c r="B17" s="410"/>
      <c r="C17" s="46">
        <v>4</v>
      </c>
      <c r="D17" s="99" t="s">
        <v>353</v>
      </c>
      <c r="E17" s="47"/>
      <c r="F17" s="54"/>
      <c r="G17" s="54"/>
    </row>
    <row r="18" spans="2:7" s="45" customFormat="1" ht="30" customHeight="1" thickBot="1" x14ac:dyDescent="0.4">
      <c r="B18" s="410"/>
      <c r="C18" s="48">
        <v>5</v>
      </c>
      <c r="D18" s="100" t="s">
        <v>354</v>
      </c>
      <c r="E18" s="49"/>
      <c r="F18" s="54"/>
      <c r="G18" s="54"/>
    </row>
    <row r="19" spans="2:7" s="45" customFormat="1" ht="15" thickBot="1" x14ac:dyDescent="0.4">
      <c r="B19" s="411"/>
      <c r="C19" s="50"/>
      <c r="D19" s="101" t="s">
        <v>335</v>
      </c>
      <c r="E19" s="51"/>
      <c r="F19" s="54"/>
      <c r="G19" s="54"/>
    </row>
    <row r="20" spans="2:7" s="45" customFormat="1" x14ac:dyDescent="0.35">
      <c r="B20" s="409" t="s">
        <v>355</v>
      </c>
      <c r="C20" s="52">
        <v>1</v>
      </c>
      <c r="D20" s="102" t="s">
        <v>356</v>
      </c>
      <c r="E20" s="53"/>
      <c r="F20" s="54"/>
      <c r="G20" s="54"/>
    </row>
    <row r="21" spans="2:7" s="45" customFormat="1" ht="15" thickBot="1" x14ac:dyDescent="0.4">
      <c r="B21" s="410"/>
      <c r="C21" s="46">
        <v>2</v>
      </c>
      <c r="D21" s="99" t="s">
        <v>357</v>
      </c>
      <c r="E21" s="47"/>
      <c r="F21" s="54"/>
      <c r="G21" s="54"/>
    </row>
    <row r="22" spans="2:7" s="45" customFormat="1" x14ac:dyDescent="0.35">
      <c r="B22" s="410"/>
      <c r="C22" s="46">
        <v>3</v>
      </c>
      <c r="D22" s="99" t="s">
        <v>358</v>
      </c>
      <c r="E22" s="53"/>
      <c r="F22" s="54"/>
      <c r="G22" s="54"/>
    </row>
    <row r="23" spans="2:7" s="45" customFormat="1" ht="26" x14ac:dyDescent="0.35">
      <c r="B23" s="410"/>
      <c r="C23" s="46">
        <v>4</v>
      </c>
      <c r="D23" s="99" t="s">
        <v>359</v>
      </c>
      <c r="E23" s="47"/>
      <c r="F23" s="54"/>
      <c r="G23" s="54"/>
    </row>
    <row r="24" spans="2:7" s="45" customFormat="1" ht="26.5" thickBot="1" x14ac:dyDescent="0.4">
      <c r="B24" s="410"/>
      <c r="C24" s="48">
        <v>5</v>
      </c>
      <c r="D24" s="99" t="s">
        <v>360</v>
      </c>
      <c r="E24" s="49"/>
      <c r="F24" s="54"/>
      <c r="G24" s="54"/>
    </row>
    <row r="25" spans="2:7" s="45" customFormat="1" ht="15" thickBot="1" x14ac:dyDescent="0.4">
      <c r="B25" s="411"/>
      <c r="C25" s="50"/>
      <c r="D25" s="101" t="s">
        <v>335</v>
      </c>
      <c r="E25" s="51"/>
      <c r="F25" s="54"/>
      <c r="G25" s="54"/>
    </row>
    <row r="26" spans="2:7" s="45" customFormat="1" x14ac:dyDescent="0.35">
      <c r="B26" s="409" t="s">
        <v>361</v>
      </c>
      <c r="C26" s="52">
        <v>1</v>
      </c>
      <c r="D26" s="102" t="s">
        <v>362</v>
      </c>
      <c r="E26" s="53"/>
      <c r="F26" s="54"/>
      <c r="G26" s="54"/>
    </row>
    <row r="27" spans="2:7" s="45" customFormat="1" x14ac:dyDescent="0.35">
      <c r="B27" s="410"/>
      <c r="C27" s="46">
        <v>2</v>
      </c>
      <c r="D27" s="99" t="s">
        <v>363</v>
      </c>
      <c r="E27" s="47"/>
      <c r="F27" s="54"/>
      <c r="G27" s="54"/>
    </row>
    <row r="28" spans="2:7" s="45" customFormat="1" x14ac:dyDescent="0.35">
      <c r="B28" s="410"/>
      <c r="C28" s="46">
        <v>3</v>
      </c>
      <c r="D28" s="99" t="s">
        <v>364</v>
      </c>
      <c r="E28" s="47"/>
      <c r="F28" s="54"/>
      <c r="G28" s="54"/>
    </row>
    <row r="29" spans="2:7" s="45" customFormat="1" x14ac:dyDescent="0.35">
      <c r="B29" s="410"/>
      <c r="C29" s="46">
        <v>4</v>
      </c>
      <c r="D29" s="99" t="s">
        <v>365</v>
      </c>
      <c r="E29" s="47"/>
      <c r="F29" s="54"/>
      <c r="G29" s="54"/>
    </row>
    <row r="30" spans="2:7" s="45" customFormat="1" ht="15" thickBot="1" x14ac:dyDescent="0.4">
      <c r="B30" s="410"/>
      <c r="C30" s="48">
        <v>5</v>
      </c>
      <c r="D30" s="100" t="s">
        <v>366</v>
      </c>
      <c r="E30" s="49"/>
      <c r="F30" s="54"/>
      <c r="G30" s="54"/>
    </row>
    <row r="31" spans="2:7" s="45" customFormat="1" ht="15" thickBot="1" x14ac:dyDescent="0.4">
      <c r="B31" s="411"/>
      <c r="C31" s="50"/>
      <c r="D31" s="101" t="s">
        <v>335</v>
      </c>
      <c r="E31" s="51"/>
      <c r="F31" s="54"/>
      <c r="G31" s="54"/>
    </row>
    <row r="32" spans="2:7" s="45" customFormat="1" x14ac:dyDescent="0.35">
      <c r="B32" s="409" t="s">
        <v>367</v>
      </c>
      <c r="C32" s="52">
        <v>1</v>
      </c>
      <c r="D32" s="102" t="s">
        <v>368</v>
      </c>
      <c r="E32" s="53"/>
      <c r="F32" s="54"/>
      <c r="G32" s="54"/>
    </row>
    <row r="33" spans="2:7" s="45" customFormat="1" x14ac:dyDescent="0.35">
      <c r="B33" s="410"/>
      <c r="C33" s="46">
        <v>2</v>
      </c>
      <c r="D33" s="99" t="s">
        <v>369</v>
      </c>
      <c r="E33" s="47" t="s">
        <v>370</v>
      </c>
      <c r="F33" s="54"/>
      <c r="G33" s="54"/>
    </row>
    <row r="34" spans="2:7" s="45" customFormat="1" x14ac:dyDescent="0.35">
      <c r="B34" s="410"/>
      <c r="C34" s="46">
        <v>3</v>
      </c>
      <c r="D34" s="99" t="s">
        <v>371</v>
      </c>
      <c r="E34" s="47"/>
      <c r="F34" s="54"/>
      <c r="G34" s="54"/>
    </row>
    <row r="35" spans="2:7" s="45" customFormat="1" x14ac:dyDescent="0.35">
      <c r="B35" s="410"/>
      <c r="C35" s="46">
        <v>4</v>
      </c>
      <c r="D35" s="99" t="s">
        <v>372</v>
      </c>
      <c r="E35" s="47"/>
      <c r="F35" s="54"/>
      <c r="G35" s="54"/>
    </row>
    <row r="36" spans="2:7" s="45" customFormat="1" ht="15" thickBot="1" x14ac:dyDescent="0.4">
      <c r="B36" s="410"/>
      <c r="C36" s="48">
        <v>5</v>
      </c>
      <c r="D36" s="100" t="s">
        <v>373</v>
      </c>
      <c r="E36" s="49"/>
      <c r="F36" s="54"/>
      <c r="G36" s="54"/>
    </row>
    <row r="37" spans="2:7" s="45" customFormat="1" ht="15" thickBot="1" x14ac:dyDescent="0.4">
      <c r="B37" s="411"/>
      <c r="C37" s="50"/>
      <c r="D37" s="101" t="s">
        <v>335</v>
      </c>
      <c r="E37" s="51"/>
      <c r="F37" s="54"/>
      <c r="G37" s="54"/>
    </row>
    <row r="38" spans="2:7" ht="12.75" customHeight="1" x14ac:dyDescent="0.35">
      <c r="B38" s="55"/>
      <c r="C38" s="56"/>
      <c r="D38" s="55" t="s">
        <v>370</v>
      </c>
    </row>
  </sheetData>
  <mergeCells count="10">
    <mergeCell ref="B14:B19"/>
    <mergeCell ref="B20:B25"/>
    <mergeCell ref="B26:B31"/>
    <mergeCell ref="B32:B37"/>
    <mergeCell ref="B2:D2"/>
    <mergeCell ref="F2:I2"/>
    <mergeCell ref="B3:C3"/>
    <mergeCell ref="F3:G3"/>
    <mergeCell ref="B4:D5"/>
    <mergeCell ref="B8:B13"/>
  </mergeCells>
  <conditionalFormatting sqref="D6">
    <cfRule type="cellIs" dxfId="18" priority="1" operator="greaterThan">
      <formula>21</formula>
    </cfRule>
    <cfRule type="cellIs" dxfId="17" priority="2" operator="between">
      <formula>21</formula>
      <formula>30</formula>
    </cfRule>
    <cfRule type="cellIs" dxfId="16" priority="3" operator="between">
      <formula>11</formula>
      <formula>20</formula>
    </cfRule>
    <cfRule type="cellIs" dxfId="15" priority="4" operator="between">
      <formula>1</formula>
      <formula>10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8EBDB-940D-4B8D-89E9-0FA2D1BB4BF7}">
  <sheetPr>
    <tabColor rgb="FFFFC000"/>
  </sheetPr>
  <dimension ref="B1:I38"/>
  <sheetViews>
    <sheetView showGridLines="0" zoomScale="90" zoomScaleNormal="90" workbookViewId="0">
      <selection sqref="A1:XFD1048576"/>
    </sheetView>
  </sheetViews>
  <sheetFormatPr defaultColWidth="9.1796875" defaultRowHeight="14.5" x14ac:dyDescent="0.35"/>
  <cols>
    <col min="1" max="1" width="3.1796875" customWidth="1"/>
    <col min="2" max="2" width="30.7265625" customWidth="1"/>
    <col min="3" max="3" width="12" customWidth="1"/>
    <col min="4" max="4" width="62.1796875" customWidth="1"/>
    <col min="5" max="5" width="47.453125" customWidth="1"/>
    <col min="6" max="7" width="9.1796875" style="57"/>
    <col min="8" max="8" width="15.54296875" customWidth="1"/>
    <col min="9" max="9" width="70.26953125" bestFit="1" customWidth="1"/>
  </cols>
  <sheetData>
    <row r="1" spans="2:9" ht="15" thickBot="1" x14ac:dyDescent="0.4"/>
    <row r="2" spans="2:9" ht="21" x14ac:dyDescent="0.4">
      <c r="B2" s="402" t="s">
        <v>326</v>
      </c>
      <c r="C2" s="402"/>
      <c r="D2" s="402"/>
      <c r="F2" s="399" t="s">
        <v>327</v>
      </c>
      <c r="G2" s="400"/>
      <c r="H2" s="400"/>
      <c r="I2" s="401"/>
    </row>
    <row r="3" spans="2:9" ht="18" x14ac:dyDescent="0.4">
      <c r="B3" s="402"/>
      <c r="C3" s="402"/>
      <c r="D3" s="19"/>
      <c r="F3" s="403" t="s">
        <v>328</v>
      </c>
      <c r="G3" s="404"/>
      <c r="H3" s="20" t="s">
        <v>0</v>
      </c>
      <c r="I3" s="21" t="s">
        <v>329</v>
      </c>
    </row>
    <row r="4" spans="2:9" x14ac:dyDescent="0.35">
      <c r="B4" s="405" t="s">
        <v>330</v>
      </c>
      <c r="C4" s="405"/>
      <c r="D4" s="405"/>
      <c r="F4" s="22">
        <v>1</v>
      </c>
      <c r="G4" s="23">
        <v>10</v>
      </c>
      <c r="H4" s="24" t="s">
        <v>331</v>
      </c>
      <c r="I4" s="25" t="s">
        <v>332</v>
      </c>
    </row>
    <row r="5" spans="2:9" ht="29.5" thickBot="1" x14ac:dyDescent="0.4">
      <c r="B5" s="406"/>
      <c r="C5" s="406"/>
      <c r="D5" s="406"/>
      <c r="F5" s="26">
        <v>11</v>
      </c>
      <c r="G5" s="27">
        <v>16</v>
      </c>
      <c r="H5" s="28" t="s">
        <v>333</v>
      </c>
      <c r="I5" s="29" t="s">
        <v>334</v>
      </c>
    </row>
    <row r="6" spans="2:9" ht="29.5" thickBot="1" x14ac:dyDescent="0.4">
      <c r="B6" s="30"/>
      <c r="C6" s="31" t="s">
        <v>335</v>
      </c>
      <c r="D6" s="32">
        <f>SUM(C13+C19+C25+C31+C37)</f>
        <v>0</v>
      </c>
      <c r="F6" s="33">
        <v>17</v>
      </c>
      <c r="G6" s="34">
        <v>20</v>
      </c>
      <c r="H6" s="35" t="s">
        <v>336</v>
      </c>
      <c r="I6" s="29" t="s">
        <v>337</v>
      </c>
    </row>
    <row r="7" spans="2:9" ht="15" thickBot="1" x14ac:dyDescent="0.4">
      <c r="B7" s="36" t="s">
        <v>338</v>
      </c>
      <c r="C7" s="37" t="s">
        <v>339</v>
      </c>
      <c r="D7" s="38" t="s">
        <v>340</v>
      </c>
      <c r="E7" s="39" t="s">
        <v>329</v>
      </c>
      <c r="F7" s="40">
        <v>21</v>
      </c>
      <c r="G7" s="41">
        <v>50</v>
      </c>
      <c r="H7" s="42" t="s">
        <v>341</v>
      </c>
      <c r="I7" s="29" t="s">
        <v>342</v>
      </c>
    </row>
    <row r="8" spans="2:9" s="45" customFormat="1" x14ac:dyDescent="0.35">
      <c r="B8" s="407" t="s">
        <v>343</v>
      </c>
      <c r="C8" s="43">
        <v>1</v>
      </c>
      <c r="D8" s="98" t="s">
        <v>344</v>
      </c>
      <c r="E8" s="44"/>
    </row>
    <row r="9" spans="2:9" s="45" customFormat="1" x14ac:dyDescent="0.35">
      <c r="B9" s="407"/>
      <c r="C9" s="46">
        <v>2</v>
      </c>
      <c r="D9" s="99" t="s">
        <v>345</v>
      </c>
      <c r="E9" s="47"/>
    </row>
    <row r="10" spans="2:9" s="45" customFormat="1" x14ac:dyDescent="0.35">
      <c r="B10" s="407"/>
      <c r="C10" s="46">
        <v>3</v>
      </c>
      <c r="D10" s="99" t="s">
        <v>346</v>
      </c>
      <c r="E10" s="47"/>
    </row>
    <row r="11" spans="2:9" s="45" customFormat="1" ht="25" x14ac:dyDescent="0.35">
      <c r="B11" s="407"/>
      <c r="C11" s="46">
        <v>4</v>
      </c>
      <c r="D11" s="99" t="s">
        <v>347</v>
      </c>
      <c r="E11" s="47"/>
    </row>
    <row r="12" spans="2:9" s="45" customFormat="1" ht="15" thickBot="1" x14ac:dyDescent="0.4">
      <c r="B12" s="407"/>
      <c r="C12" s="48">
        <v>5</v>
      </c>
      <c r="D12" s="100" t="s">
        <v>348</v>
      </c>
      <c r="E12" s="49"/>
    </row>
    <row r="13" spans="2:9" s="45" customFormat="1" ht="15" thickBot="1" x14ac:dyDescent="0.4">
      <c r="B13" s="408"/>
      <c r="C13" s="50"/>
      <c r="D13" s="101" t="s">
        <v>335</v>
      </c>
      <c r="E13" s="51"/>
    </row>
    <row r="14" spans="2:9" s="45" customFormat="1" x14ac:dyDescent="0.35">
      <c r="B14" s="409" t="s">
        <v>349</v>
      </c>
      <c r="C14" s="52">
        <v>1</v>
      </c>
      <c r="D14" s="102" t="s">
        <v>350</v>
      </c>
      <c r="E14" s="53"/>
      <c r="F14" s="54"/>
      <c r="G14" s="54"/>
    </row>
    <row r="15" spans="2:9" s="45" customFormat="1" x14ac:dyDescent="0.35">
      <c r="B15" s="410"/>
      <c r="C15" s="46">
        <v>2</v>
      </c>
      <c r="D15" s="99" t="s">
        <v>351</v>
      </c>
      <c r="E15" s="47"/>
      <c r="F15" s="54"/>
      <c r="G15" s="54"/>
    </row>
    <row r="16" spans="2:9" s="45" customFormat="1" ht="25" x14ac:dyDescent="0.35">
      <c r="B16" s="410"/>
      <c r="C16" s="46">
        <v>3</v>
      </c>
      <c r="D16" s="99" t="s">
        <v>352</v>
      </c>
      <c r="E16" s="47"/>
      <c r="F16" s="54"/>
      <c r="G16" s="54"/>
    </row>
    <row r="17" spans="2:7" s="45" customFormat="1" x14ac:dyDescent="0.35">
      <c r="B17" s="410"/>
      <c r="C17" s="46">
        <v>4</v>
      </c>
      <c r="D17" s="99" t="s">
        <v>353</v>
      </c>
      <c r="E17" s="47"/>
      <c r="F17" s="54"/>
      <c r="G17" s="54"/>
    </row>
    <row r="18" spans="2:7" s="45" customFormat="1" ht="30" customHeight="1" thickBot="1" x14ac:dyDescent="0.4">
      <c r="B18" s="410"/>
      <c r="C18" s="48">
        <v>5</v>
      </c>
      <c r="D18" s="100" t="s">
        <v>354</v>
      </c>
      <c r="E18" s="49"/>
      <c r="F18" s="54"/>
      <c r="G18" s="54"/>
    </row>
    <row r="19" spans="2:7" s="45" customFormat="1" ht="15" thickBot="1" x14ac:dyDescent="0.4">
      <c r="B19" s="411"/>
      <c r="C19" s="50"/>
      <c r="D19" s="101" t="s">
        <v>335</v>
      </c>
      <c r="E19" s="51"/>
      <c r="F19" s="54"/>
      <c r="G19" s="54"/>
    </row>
    <row r="20" spans="2:7" s="45" customFormat="1" x14ac:dyDescent="0.35">
      <c r="B20" s="409" t="s">
        <v>355</v>
      </c>
      <c r="C20" s="52">
        <v>1</v>
      </c>
      <c r="D20" s="102" t="s">
        <v>356</v>
      </c>
      <c r="E20" s="53"/>
      <c r="F20" s="54"/>
      <c r="G20" s="54"/>
    </row>
    <row r="21" spans="2:7" s="45" customFormat="1" ht="15" thickBot="1" x14ac:dyDescent="0.4">
      <c r="B21" s="410"/>
      <c r="C21" s="46">
        <v>2</v>
      </c>
      <c r="D21" s="99" t="s">
        <v>357</v>
      </c>
      <c r="E21" s="47"/>
      <c r="F21" s="54"/>
      <c r="G21" s="54"/>
    </row>
    <row r="22" spans="2:7" s="45" customFormat="1" x14ac:dyDescent="0.35">
      <c r="B22" s="410"/>
      <c r="C22" s="46">
        <v>3</v>
      </c>
      <c r="D22" s="99" t="s">
        <v>358</v>
      </c>
      <c r="E22" s="53"/>
      <c r="F22" s="54"/>
      <c r="G22" s="54"/>
    </row>
    <row r="23" spans="2:7" s="45" customFormat="1" ht="26" x14ac:dyDescent="0.35">
      <c r="B23" s="410"/>
      <c r="C23" s="46">
        <v>4</v>
      </c>
      <c r="D23" s="99" t="s">
        <v>359</v>
      </c>
      <c r="E23" s="47"/>
      <c r="F23" s="54"/>
      <c r="G23" s="54"/>
    </row>
    <row r="24" spans="2:7" s="45" customFormat="1" ht="26.5" thickBot="1" x14ac:dyDescent="0.4">
      <c r="B24" s="410"/>
      <c r="C24" s="48">
        <v>5</v>
      </c>
      <c r="D24" s="99" t="s">
        <v>360</v>
      </c>
      <c r="E24" s="49"/>
      <c r="F24" s="54"/>
      <c r="G24" s="54"/>
    </row>
    <row r="25" spans="2:7" s="45" customFormat="1" ht="15" thickBot="1" x14ac:dyDescent="0.4">
      <c r="B25" s="411"/>
      <c r="C25" s="50"/>
      <c r="D25" s="101" t="s">
        <v>335</v>
      </c>
      <c r="E25" s="51"/>
      <c r="F25" s="54"/>
      <c r="G25" s="54"/>
    </row>
    <row r="26" spans="2:7" s="45" customFormat="1" x14ac:dyDescent="0.35">
      <c r="B26" s="409" t="s">
        <v>361</v>
      </c>
      <c r="C26" s="52">
        <v>1</v>
      </c>
      <c r="D26" s="102" t="s">
        <v>362</v>
      </c>
      <c r="E26" s="53"/>
      <c r="F26" s="54"/>
      <c r="G26" s="54"/>
    </row>
    <row r="27" spans="2:7" s="45" customFormat="1" x14ac:dyDescent="0.35">
      <c r="B27" s="410"/>
      <c r="C27" s="46">
        <v>2</v>
      </c>
      <c r="D27" s="99" t="s">
        <v>363</v>
      </c>
      <c r="E27" s="47"/>
      <c r="F27" s="54"/>
      <c r="G27" s="54"/>
    </row>
    <row r="28" spans="2:7" s="45" customFormat="1" x14ac:dyDescent="0.35">
      <c r="B28" s="410"/>
      <c r="C28" s="46">
        <v>3</v>
      </c>
      <c r="D28" s="99" t="s">
        <v>364</v>
      </c>
      <c r="E28" s="47"/>
      <c r="F28" s="54"/>
      <c r="G28" s="54"/>
    </row>
    <row r="29" spans="2:7" s="45" customFormat="1" x14ac:dyDescent="0.35">
      <c r="B29" s="410"/>
      <c r="C29" s="46">
        <v>4</v>
      </c>
      <c r="D29" s="99" t="s">
        <v>365</v>
      </c>
      <c r="E29" s="47"/>
      <c r="F29" s="54"/>
      <c r="G29" s="54"/>
    </row>
    <row r="30" spans="2:7" s="45" customFormat="1" ht="15" thickBot="1" x14ac:dyDescent="0.4">
      <c r="B30" s="410"/>
      <c r="C30" s="48">
        <v>5</v>
      </c>
      <c r="D30" s="100" t="s">
        <v>366</v>
      </c>
      <c r="E30" s="49"/>
      <c r="F30" s="54"/>
      <c r="G30" s="54"/>
    </row>
    <row r="31" spans="2:7" s="45" customFormat="1" ht="15" thickBot="1" x14ac:dyDescent="0.4">
      <c r="B31" s="411"/>
      <c r="C31" s="50"/>
      <c r="D31" s="101" t="s">
        <v>335</v>
      </c>
      <c r="E31" s="51"/>
      <c r="F31" s="54"/>
      <c r="G31" s="54"/>
    </row>
    <row r="32" spans="2:7" s="45" customFormat="1" x14ac:dyDescent="0.35">
      <c r="B32" s="409" t="s">
        <v>367</v>
      </c>
      <c r="C32" s="52">
        <v>1</v>
      </c>
      <c r="D32" s="102" t="s">
        <v>368</v>
      </c>
      <c r="E32" s="53"/>
      <c r="F32" s="54"/>
      <c r="G32" s="54"/>
    </row>
    <row r="33" spans="2:7" s="45" customFormat="1" x14ac:dyDescent="0.35">
      <c r="B33" s="410"/>
      <c r="C33" s="46">
        <v>2</v>
      </c>
      <c r="D33" s="99" t="s">
        <v>369</v>
      </c>
      <c r="E33" s="47" t="s">
        <v>370</v>
      </c>
      <c r="F33" s="54"/>
      <c r="G33" s="54"/>
    </row>
    <row r="34" spans="2:7" s="45" customFormat="1" x14ac:dyDescent="0.35">
      <c r="B34" s="410"/>
      <c r="C34" s="46">
        <v>3</v>
      </c>
      <c r="D34" s="99" t="s">
        <v>371</v>
      </c>
      <c r="E34" s="47"/>
      <c r="F34" s="54"/>
      <c r="G34" s="54"/>
    </row>
    <row r="35" spans="2:7" s="45" customFormat="1" x14ac:dyDescent="0.35">
      <c r="B35" s="410"/>
      <c r="C35" s="46">
        <v>4</v>
      </c>
      <c r="D35" s="99" t="s">
        <v>372</v>
      </c>
      <c r="E35" s="47"/>
      <c r="F35" s="54"/>
      <c r="G35" s="54"/>
    </row>
    <row r="36" spans="2:7" s="45" customFormat="1" ht="15" thickBot="1" x14ac:dyDescent="0.4">
      <c r="B36" s="410"/>
      <c r="C36" s="48">
        <v>5</v>
      </c>
      <c r="D36" s="100" t="s">
        <v>373</v>
      </c>
      <c r="E36" s="49"/>
      <c r="F36" s="54"/>
      <c r="G36" s="54"/>
    </row>
    <row r="37" spans="2:7" s="45" customFormat="1" ht="15" thickBot="1" x14ac:dyDescent="0.4">
      <c r="B37" s="411"/>
      <c r="C37" s="50"/>
      <c r="D37" s="101" t="s">
        <v>335</v>
      </c>
      <c r="E37" s="51"/>
      <c r="F37" s="54"/>
      <c r="G37" s="54"/>
    </row>
    <row r="38" spans="2:7" ht="12.75" customHeight="1" x14ac:dyDescent="0.35">
      <c r="B38" s="55"/>
      <c r="C38" s="56"/>
      <c r="D38" s="55" t="s">
        <v>370</v>
      </c>
    </row>
  </sheetData>
  <mergeCells count="10">
    <mergeCell ref="B14:B19"/>
    <mergeCell ref="B20:B25"/>
    <mergeCell ref="B26:B31"/>
    <mergeCell ref="B32:B37"/>
    <mergeCell ref="B2:D2"/>
    <mergeCell ref="F2:I2"/>
    <mergeCell ref="B3:C3"/>
    <mergeCell ref="F3:G3"/>
    <mergeCell ref="B4:D5"/>
    <mergeCell ref="B8:B13"/>
  </mergeCells>
  <conditionalFormatting sqref="D6">
    <cfRule type="cellIs" dxfId="14" priority="1" operator="greaterThan">
      <formula>21</formula>
    </cfRule>
    <cfRule type="cellIs" dxfId="13" priority="2" operator="between">
      <formula>21</formula>
      <formula>30</formula>
    </cfRule>
    <cfRule type="cellIs" dxfId="12" priority="3" operator="between">
      <formula>11</formula>
      <formula>20</formula>
    </cfRule>
    <cfRule type="cellIs" dxfId="11" priority="4" operator="between">
      <formula>1</formula>
      <formula>10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1:I38"/>
  <sheetViews>
    <sheetView showGridLines="0" zoomScale="90" zoomScaleNormal="90" workbookViewId="0">
      <selection sqref="A1:XFD1048576"/>
    </sheetView>
  </sheetViews>
  <sheetFormatPr defaultColWidth="9.1796875" defaultRowHeight="14.5" x14ac:dyDescent="0.35"/>
  <cols>
    <col min="1" max="1" width="3.1796875" customWidth="1"/>
    <col min="2" max="2" width="30.7265625" customWidth="1"/>
    <col min="3" max="3" width="12" customWidth="1"/>
    <col min="4" max="4" width="62.1796875" customWidth="1"/>
    <col min="5" max="5" width="47.453125" customWidth="1"/>
    <col min="6" max="7" width="9.1796875" style="57"/>
    <col min="8" max="8" width="15.54296875" customWidth="1"/>
    <col min="9" max="9" width="70.26953125" bestFit="1" customWidth="1"/>
  </cols>
  <sheetData>
    <row r="1" spans="2:9" ht="15" thickBot="1" x14ac:dyDescent="0.4"/>
    <row r="2" spans="2:9" ht="21" x14ac:dyDescent="0.4">
      <c r="B2" s="402" t="s">
        <v>326</v>
      </c>
      <c r="C2" s="402"/>
      <c r="D2" s="402"/>
      <c r="F2" s="399" t="s">
        <v>327</v>
      </c>
      <c r="G2" s="400"/>
      <c r="H2" s="400"/>
      <c r="I2" s="401"/>
    </row>
    <row r="3" spans="2:9" ht="18" x14ac:dyDescent="0.4">
      <c r="B3" s="402"/>
      <c r="C3" s="402"/>
      <c r="D3" s="19"/>
      <c r="F3" s="403" t="s">
        <v>328</v>
      </c>
      <c r="G3" s="404"/>
      <c r="H3" s="20" t="s">
        <v>0</v>
      </c>
      <c r="I3" s="21" t="s">
        <v>329</v>
      </c>
    </row>
    <row r="4" spans="2:9" x14ac:dyDescent="0.35">
      <c r="B4" s="405" t="s">
        <v>330</v>
      </c>
      <c r="C4" s="405"/>
      <c r="D4" s="405"/>
      <c r="F4" s="22">
        <v>1</v>
      </c>
      <c r="G4" s="23">
        <v>10</v>
      </c>
      <c r="H4" s="24" t="s">
        <v>331</v>
      </c>
      <c r="I4" s="25" t="s">
        <v>332</v>
      </c>
    </row>
    <row r="5" spans="2:9" ht="29.5" thickBot="1" x14ac:dyDescent="0.4">
      <c r="B5" s="406"/>
      <c r="C5" s="406"/>
      <c r="D5" s="406"/>
      <c r="F5" s="26">
        <v>11</v>
      </c>
      <c r="G5" s="27">
        <v>16</v>
      </c>
      <c r="H5" s="28" t="s">
        <v>333</v>
      </c>
      <c r="I5" s="29" t="s">
        <v>334</v>
      </c>
    </row>
    <row r="6" spans="2:9" ht="29.5" thickBot="1" x14ac:dyDescent="0.4">
      <c r="B6" s="30"/>
      <c r="C6" s="31" t="s">
        <v>335</v>
      </c>
      <c r="D6" s="32">
        <f>SUM(C13+C19+C25+C31+C37)</f>
        <v>0</v>
      </c>
      <c r="F6" s="33">
        <v>17</v>
      </c>
      <c r="G6" s="34">
        <v>20</v>
      </c>
      <c r="H6" s="35" t="s">
        <v>336</v>
      </c>
      <c r="I6" s="29" t="s">
        <v>337</v>
      </c>
    </row>
    <row r="7" spans="2:9" ht="15" thickBot="1" x14ac:dyDescent="0.4">
      <c r="B7" s="36" t="s">
        <v>338</v>
      </c>
      <c r="C7" s="37" t="s">
        <v>339</v>
      </c>
      <c r="D7" s="38" t="s">
        <v>340</v>
      </c>
      <c r="E7" s="39" t="s">
        <v>329</v>
      </c>
      <c r="F7" s="40">
        <v>21</v>
      </c>
      <c r="G7" s="41">
        <v>50</v>
      </c>
      <c r="H7" s="42" t="s">
        <v>341</v>
      </c>
      <c r="I7" s="29" t="s">
        <v>342</v>
      </c>
    </row>
    <row r="8" spans="2:9" s="45" customFormat="1" x14ac:dyDescent="0.35">
      <c r="B8" s="407" t="s">
        <v>343</v>
      </c>
      <c r="C8" s="43">
        <v>1</v>
      </c>
      <c r="D8" s="98" t="s">
        <v>344</v>
      </c>
      <c r="E8" s="44"/>
    </row>
    <row r="9" spans="2:9" s="45" customFormat="1" x14ac:dyDescent="0.35">
      <c r="B9" s="407"/>
      <c r="C9" s="46">
        <v>2</v>
      </c>
      <c r="D9" s="99" t="s">
        <v>345</v>
      </c>
      <c r="E9" s="47"/>
    </row>
    <row r="10" spans="2:9" s="45" customFormat="1" x14ac:dyDescent="0.35">
      <c r="B10" s="407"/>
      <c r="C10" s="46">
        <v>3</v>
      </c>
      <c r="D10" s="99" t="s">
        <v>346</v>
      </c>
      <c r="E10" s="47"/>
    </row>
    <row r="11" spans="2:9" s="45" customFormat="1" ht="25" x14ac:dyDescent="0.35">
      <c r="B11" s="407"/>
      <c r="C11" s="46">
        <v>4</v>
      </c>
      <c r="D11" s="99" t="s">
        <v>347</v>
      </c>
      <c r="E11" s="47"/>
    </row>
    <row r="12" spans="2:9" s="45" customFormat="1" ht="15" thickBot="1" x14ac:dyDescent="0.4">
      <c r="B12" s="407"/>
      <c r="C12" s="48">
        <v>5</v>
      </c>
      <c r="D12" s="100" t="s">
        <v>348</v>
      </c>
      <c r="E12" s="49"/>
    </row>
    <row r="13" spans="2:9" s="45" customFormat="1" ht="15" thickBot="1" x14ac:dyDescent="0.4">
      <c r="B13" s="408"/>
      <c r="C13" s="50"/>
      <c r="D13" s="101" t="s">
        <v>335</v>
      </c>
      <c r="E13" s="51"/>
    </row>
    <row r="14" spans="2:9" s="45" customFormat="1" x14ac:dyDescent="0.35">
      <c r="B14" s="409" t="s">
        <v>349</v>
      </c>
      <c r="C14" s="52">
        <v>1</v>
      </c>
      <c r="D14" s="102" t="s">
        <v>350</v>
      </c>
      <c r="E14" s="53"/>
      <c r="F14" s="54"/>
      <c r="G14" s="54"/>
    </row>
    <row r="15" spans="2:9" s="45" customFormat="1" x14ac:dyDescent="0.35">
      <c r="B15" s="410"/>
      <c r="C15" s="46">
        <v>2</v>
      </c>
      <c r="D15" s="99" t="s">
        <v>351</v>
      </c>
      <c r="E15" s="47"/>
      <c r="F15" s="54"/>
      <c r="G15" s="54"/>
    </row>
    <row r="16" spans="2:9" s="45" customFormat="1" ht="25" x14ac:dyDescent="0.35">
      <c r="B16" s="410"/>
      <c r="C16" s="46">
        <v>3</v>
      </c>
      <c r="D16" s="99" t="s">
        <v>352</v>
      </c>
      <c r="E16" s="47"/>
      <c r="F16" s="54"/>
      <c r="G16" s="54"/>
    </row>
    <row r="17" spans="2:7" s="45" customFormat="1" x14ac:dyDescent="0.35">
      <c r="B17" s="410"/>
      <c r="C17" s="46">
        <v>4</v>
      </c>
      <c r="D17" s="99" t="s">
        <v>353</v>
      </c>
      <c r="E17" s="47"/>
      <c r="F17" s="54"/>
      <c r="G17" s="54"/>
    </row>
    <row r="18" spans="2:7" s="45" customFormat="1" ht="30" customHeight="1" thickBot="1" x14ac:dyDescent="0.4">
      <c r="B18" s="410"/>
      <c r="C18" s="48">
        <v>5</v>
      </c>
      <c r="D18" s="100" t="s">
        <v>354</v>
      </c>
      <c r="E18" s="49"/>
      <c r="F18" s="54"/>
      <c r="G18" s="54"/>
    </row>
    <row r="19" spans="2:7" s="45" customFormat="1" ht="15" thickBot="1" x14ac:dyDescent="0.4">
      <c r="B19" s="411"/>
      <c r="C19" s="50"/>
      <c r="D19" s="101" t="s">
        <v>335</v>
      </c>
      <c r="E19" s="51"/>
      <c r="F19" s="54"/>
      <c r="G19" s="54"/>
    </row>
    <row r="20" spans="2:7" s="45" customFormat="1" x14ac:dyDescent="0.35">
      <c r="B20" s="409" t="s">
        <v>355</v>
      </c>
      <c r="C20" s="52">
        <v>1</v>
      </c>
      <c r="D20" s="102" t="s">
        <v>356</v>
      </c>
      <c r="E20" s="53"/>
      <c r="F20" s="54"/>
      <c r="G20" s="54"/>
    </row>
    <row r="21" spans="2:7" s="45" customFormat="1" ht="15" thickBot="1" x14ac:dyDescent="0.4">
      <c r="B21" s="410"/>
      <c r="C21" s="46">
        <v>2</v>
      </c>
      <c r="D21" s="99" t="s">
        <v>357</v>
      </c>
      <c r="E21" s="47"/>
      <c r="F21" s="54"/>
      <c r="G21" s="54"/>
    </row>
    <row r="22" spans="2:7" s="45" customFormat="1" x14ac:dyDescent="0.35">
      <c r="B22" s="410"/>
      <c r="C22" s="46">
        <v>3</v>
      </c>
      <c r="D22" s="99" t="s">
        <v>358</v>
      </c>
      <c r="E22" s="53"/>
      <c r="F22" s="54"/>
      <c r="G22" s="54"/>
    </row>
    <row r="23" spans="2:7" s="45" customFormat="1" ht="26" x14ac:dyDescent="0.35">
      <c r="B23" s="410"/>
      <c r="C23" s="46">
        <v>4</v>
      </c>
      <c r="D23" s="99" t="s">
        <v>359</v>
      </c>
      <c r="E23" s="47"/>
      <c r="F23" s="54"/>
      <c r="G23" s="54"/>
    </row>
    <row r="24" spans="2:7" s="45" customFormat="1" ht="26.5" thickBot="1" x14ac:dyDescent="0.4">
      <c r="B24" s="410"/>
      <c r="C24" s="48">
        <v>5</v>
      </c>
      <c r="D24" s="99" t="s">
        <v>360</v>
      </c>
      <c r="E24" s="49"/>
      <c r="F24" s="54"/>
      <c r="G24" s="54"/>
    </row>
    <row r="25" spans="2:7" s="45" customFormat="1" ht="15" thickBot="1" x14ac:dyDescent="0.4">
      <c r="B25" s="411"/>
      <c r="C25" s="50"/>
      <c r="D25" s="101" t="s">
        <v>335</v>
      </c>
      <c r="E25" s="51"/>
      <c r="F25" s="54"/>
      <c r="G25" s="54"/>
    </row>
    <row r="26" spans="2:7" s="45" customFormat="1" x14ac:dyDescent="0.35">
      <c r="B26" s="409" t="s">
        <v>361</v>
      </c>
      <c r="C26" s="52">
        <v>1</v>
      </c>
      <c r="D26" s="102" t="s">
        <v>362</v>
      </c>
      <c r="E26" s="53"/>
      <c r="F26" s="54"/>
      <c r="G26" s="54"/>
    </row>
    <row r="27" spans="2:7" s="45" customFormat="1" x14ac:dyDescent="0.35">
      <c r="B27" s="410"/>
      <c r="C27" s="46">
        <v>2</v>
      </c>
      <c r="D27" s="99" t="s">
        <v>363</v>
      </c>
      <c r="E27" s="47"/>
      <c r="F27" s="54"/>
      <c r="G27" s="54"/>
    </row>
    <row r="28" spans="2:7" s="45" customFormat="1" x14ac:dyDescent="0.35">
      <c r="B28" s="410"/>
      <c r="C28" s="46">
        <v>3</v>
      </c>
      <c r="D28" s="99" t="s">
        <v>364</v>
      </c>
      <c r="E28" s="47"/>
      <c r="F28" s="54"/>
      <c r="G28" s="54"/>
    </row>
    <row r="29" spans="2:7" s="45" customFormat="1" x14ac:dyDescent="0.35">
      <c r="B29" s="410"/>
      <c r="C29" s="46">
        <v>4</v>
      </c>
      <c r="D29" s="99" t="s">
        <v>365</v>
      </c>
      <c r="E29" s="47"/>
      <c r="F29" s="54"/>
      <c r="G29" s="54"/>
    </row>
    <row r="30" spans="2:7" s="45" customFormat="1" ht="15" thickBot="1" x14ac:dyDescent="0.4">
      <c r="B30" s="410"/>
      <c r="C30" s="48">
        <v>5</v>
      </c>
      <c r="D30" s="100" t="s">
        <v>366</v>
      </c>
      <c r="E30" s="49"/>
      <c r="F30" s="54"/>
      <c r="G30" s="54"/>
    </row>
    <row r="31" spans="2:7" s="45" customFormat="1" ht="15" thickBot="1" x14ac:dyDescent="0.4">
      <c r="B31" s="411"/>
      <c r="C31" s="50"/>
      <c r="D31" s="101" t="s">
        <v>335</v>
      </c>
      <c r="E31" s="51"/>
      <c r="F31" s="54"/>
      <c r="G31" s="54"/>
    </row>
    <row r="32" spans="2:7" s="45" customFormat="1" x14ac:dyDescent="0.35">
      <c r="B32" s="409" t="s">
        <v>367</v>
      </c>
      <c r="C32" s="52">
        <v>1</v>
      </c>
      <c r="D32" s="102" t="s">
        <v>368</v>
      </c>
      <c r="E32" s="53"/>
      <c r="F32" s="54"/>
      <c r="G32" s="54"/>
    </row>
    <row r="33" spans="2:7" s="45" customFormat="1" x14ac:dyDescent="0.35">
      <c r="B33" s="410"/>
      <c r="C33" s="46">
        <v>2</v>
      </c>
      <c r="D33" s="99" t="s">
        <v>369</v>
      </c>
      <c r="E33" s="47" t="s">
        <v>370</v>
      </c>
      <c r="F33" s="54"/>
      <c r="G33" s="54"/>
    </row>
    <row r="34" spans="2:7" s="45" customFormat="1" x14ac:dyDescent="0.35">
      <c r="B34" s="410"/>
      <c r="C34" s="46">
        <v>3</v>
      </c>
      <c r="D34" s="99" t="s">
        <v>371</v>
      </c>
      <c r="E34" s="47"/>
      <c r="F34" s="54"/>
      <c r="G34" s="54"/>
    </row>
    <row r="35" spans="2:7" s="45" customFormat="1" x14ac:dyDescent="0.35">
      <c r="B35" s="410"/>
      <c r="C35" s="46">
        <v>4</v>
      </c>
      <c r="D35" s="99" t="s">
        <v>372</v>
      </c>
      <c r="E35" s="47"/>
      <c r="F35" s="54"/>
      <c r="G35" s="54"/>
    </row>
    <row r="36" spans="2:7" s="45" customFormat="1" ht="15" thickBot="1" x14ac:dyDescent="0.4">
      <c r="B36" s="410"/>
      <c r="C36" s="48">
        <v>5</v>
      </c>
      <c r="D36" s="100" t="s">
        <v>373</v>
      </c>
      <c r="E36" s="49"/>
      <c r="F36" s="54"/>
      <c r="G36" s="54"/>
    </row>
    <row r="37" spans="2:7" s="45" customFormat="1" ht="15" thickBot="1" x14ac:dyDescent="0.4">
      <c r="B37" s="411"/>
      <c r="C37" s="50"/>
      <c r="D37" s="101" t="s">
        <v>335</v>
      </c>
      <c r="E37" s="51"/>
      <c r="F37" s="54"/>
      <c r="G37" s="54"/>
    </row>
    <row r="38" spans="2:7" ht="12.75" customHeight="1" x14ac:dyDescent="0.35">
      <c r="B38" s="55"/>
      <c r="C38" s="56"/>
      <c r="D38" s="55" t="s">
        <v>370</v>
      </c>
    </row>
  </sheetData>
  <mergeCells count="10">
    <mergeCell ref="B14:B19"/>
    <mergeCell ref="B20:B25"/>
    <mergeCell ref="B26:B31"/>
    <mergeCell ref="B32:B37"/>
    <mergeCell ref="B2:D2"/>
    <mergeCell ref="F2:I2"/>
    <mergeCell ref="B3:C3"/>
    <mergeCell ref="F3:G3"/>
    <mergeCell ref="B4:D5"/>
    <mergeCell ref="B8:B13"/>
  </mergeCells>
  <conditionalFormatting sqref="D6">
    <cfRule type="cellIs" dxfId="10" priority="1" operator="greaterThan">
      <formula>21</formula>
    </cfRule>
    <cfRule type="cellIs" dxfId="9" priority="2" operator="between">
      <formula>21</formula>
      <formula>30</formula>
    </cfRule>
    <cfRule type="cellIs" dxfId="8" priority="3" operator="between">
      <formula>11</formula>
      <formula>20</formula>
    </cfRule>
    <cfRule type="cellIs" dxfId="7" priority="4" operator="between">
      <formula>1</formula>
      <formula>10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2060"/>
  </sheetPr>
  <dimension ref="B2:D80"/>
  <sheetViews>
    <sheetView showGridLines="0" workbookViewId="0">
      <pane ySplit="2" topLeftCell="A3" activePane="bottomLeft" state="frozen"/>
      <selection pane="bottomLeft" activeCell="B78" sqref="B78"/>
    </sheetView>
  </sheetViews>
  <sheetFormatPr defaultColWidth="9.1796875" defaultRowHeight="14.5" x14ac:dyDescent="0.35"/>
  <cols>
    <col min="1" max="1" width="3" style="3" customWidth="1"/>
    <col min="2" max="2" width="24" style="3" bestFit="1" customWidth="1"/>
    <col min="3" max="3" width="19.81640625" style="3" customWidth="1"/>
    <col min="4" max="4" width="20.26953125" style="3" customWidth="1"/>
    <col min="5" max="16384" width="9.1796875" style="3"/>
  </cols>
  <sheetData>
    <row r="2" spans="2:4" ht="26" x14ac:dyDescent="0.35">
      <c r="B2" s="1" t="s">
        <v>374</v>
      </c>
      <c r="C2" s="2" t="s">
        <v>375</v>
      </c>
      <c r="D2" s="2" t="s">
        <v>376</v>
      </c>
    </row>
    <row r="3" spans="2:4" x14ac:dyDescent="0.35">
      <c r="B3" s="4" t="s">
        <v>377</v>
      </c>
      <c r="C3" s="5" t="s">
        <v>378</v>
      </c>
      <c r="D3" s="6">
        <v>3.5</v>
      </c>
    </row>
    <row r="4" spans="2:4" x14ac:dyDescent="0.35">
      <c r="B4" s="4" t="s">
        <v>379</v>
      </c>
      <c r="C4" s="5" t="s">
        <v>378</v>
      </c>
      <c r="D4" s="6">
        <v>4.66</v>
      </c>
    </row>
    <row r="5" spans="2:4" x14ac:dyDescent="0.35">
      <c r="B5" s="4" t="s">
        <v>131</v>
      </c>
      <c r="C5" s="5" t="s">
        <v>378</v>
      </c>
      <c r="D5" s="6">
        <v>3.58</v>
      </c>
    </row>
    <row r="6" spans="2:4" x14ac:dyDescent="0.35">
      <c r="B6" s="4" t="s">
        <v>380</v>
      </c>
      <c r="C6" s="5" t="s">
        <v>381</v>
      </c>
      <c r="D6" s="6">
        <v>31.39</v>
      </c>
    </row>
    <row r="7" spans="2:4" x14ac:dyDescent="0.35">
      <c r="B7" s="4" t="s">
        <v>126</v>
      </c>
      <c r="C7" s="5" t="s">
        <v>381</v>
      </c>
      <c r="D7" s="6">
        <v>36.700000000000003</v>
      </c>
    </row>
    <row r="8" spans="2:4" x14ac:dyDescent="0.35">
      <c r="B8" s="4" t="s">
        <v>382</v>
      </c>
      <c r="C8" s="5" t="s">
        <v>381</v>
      </c>
      <c r="D8" s="6">
        <v>41.1</v>
      </c>
    </row>
    <row r="9" spans="2:4" x14ac:dyDescent="0.35">
      <c r="B9" s="4" t="s">
        <v>383</v>
      </c>
      <c r="C9" s="5" t="s">
        <v>378</v>
      </c>
      <c r="D9" s="6">
        <v>5.2</v>
      </c>
    </row>
    <row r="10" spans="2:4" x14ac:dyDescent="0.35">
      <c r="B10" s="4" t="s">
        <v>130</v>
      </c>
      <c r="C10" s="5" t="s">
        <v>378</v>
      </c>
      <c r="D10" s="6">
        <v>6.46</v>
      </c>
    </row>
    <row r="11" spans="2:4" x14ac:dyDescent="0.35">
      <c r="B11" s="4" t="s">
        <v>384</v>
      </c>
      <c r="C11" s="5" t="s">
        <v>378</v>
      </c>
      <c r="D11" s="6">
        <v>6.5</v>
      </c>
    </row>
    <row r="12" spans="2:4" x14ac:dyDescent="0.35">
      <c r="B12" s="4" t="s">
        <v>135</v>
      </c>
      <c r="C12" s="5" t="s">
        <v>381</v>
      </c>
      <c r="D12" s="6">
        <v>28</v>
      </c>
    </row>
    <row r="13" spans="2:4" x14ac:dyDescent="0.35">
      <c r="B13" s="4" t="s">
        <v>129</v>
      </c>
      <c r="C13" s="5" t="s">
        <v>378</v>
      </c>
      <c r="D13" s="7">
        <v>7</v>
      </c>
    </row>
    <row r="14" spans="2:4" x14ac:dyDescent="0.35">
      <c r="B14" s="4" t="s">
        <v>385</v>
      </c>
      <c r="C14" s="5" t="s">
        <v>378</v>
      </c>
      <c r="D14" s="7">
        <v>7.51</v>
      </c>
    </row>
    <row r="15" spans="2:4" x14ac:dyDescent="0.35">
      <c r="B15" s="4" t="s">
        <v>386</v>
      </c>
      <c r="C15" s="5" t="s">
        <v>378</v>
      </c>
      <c r="D15" s="6">
        <v>1.48</v>
      </c>
    </row>
    <row r="16" spans="2:4" x14ac:dyDescent="0.35">
      <c r="B16" s="4" t="s">
        <v>387</v>
      </c>
      <c r="C16" s="5" t="s">
        <v>388</v>
      </c>
      <c r="D16" s="6">
        <v>10.8</v>
      </c>
    </row>
    <row r="17" spans="2:4" x14ac:dyDescent="0.35">
      <c r="B17" s="4" t="s">
        <v>389</v>
      </c>
      <c r="C17" s="5" t="s">
        <v>388</v>
      </c>
      <c r="D17" s="6">
        <v>14.1</v>
      </c>
    </row>
    <row r="18" spans="2:4" x14ac:dyDescent="0.35">
      <c r="B18" s="4" t="s">
        <v>390</v>
      </c>
      <c r="C18" s="5" t="s">
        <v>381</v>
      </c>
      <c r="D18" s="6">
        <v>45.8</v>
      </c>
    </row>
    <row r="19" spans="2:4" x14ac:dyDescent="0.35">
      <c r="B19" s="4" t="s">
        <v>134</v>
      </c>
      <c r="C19" s="5" t="s">
        <v>378</v>
      </c>
      <c r="D19" s="6">
        <v>2.3199999999999998</v>
      </c>
    </row>
    <row r="20" spans="2:4" x14ac:dyDescent="0.35">
      <c r="B20" s="4" t="s">
        <v>391</v>
      </c>
      <c r="C20" s="5" t="s">
        <v>381</v>
      </c>
      <c r="D20" s="6">
        <v>28.5</v>
      </c>
    </row>
    <row r="21" spans="2:4" x14ac:dyDescent="0.35">
      <c r="B21" s="4" t="s">
        <v>392</v>
      </c>
      <c r="C21" s="5" t="s">
        <v>388</v>
      </c>
      <c r="D21" s="6">
        <v>13.6</v>
      </c>
    </row>
    <row r="22" spans="2:4" x14ac:dyDescent="0.35">
      <c r="B22" s="4" t="s">
        <v>393</v>
      </c>
      <c r="C22" s="5" t="s">
        <v>381</v>
      </c>
      <c r="D22" s="6">
        <v>34.299999999999997</v>
      </c>
    </row>
    <row r="23" spans="2:4" x14ac:dyDescent="0.35">
      <c r="B23" s="4" t="s">
        <v>133</v>
      </c>
      <c r="C23" s="5" t="s">
        <v>381</v>
      </c>
      <c r="D23" s="6">
        <v>37.5</v>
      </c>
    </row>
    <row r="24" spans="2:4" x14ac:dyDescent="0.35">
      <c r="B24" s="4" t="s">
        <v>394</v>
      </c>
      <c r="C24" s="5" t="s">
        <v>378</v>
      </c>
      <c r="D24" s="6">
        <v>2</v>
      </c>
    </row>
    <row r="25" spans="2:4" x14ac:dyDescent="0.35">
      <c r="B25" s="4" t="s">
        <v>395</v>
      </c>
      <c r="C25" s="5" t="s">
        <v>381</v>
      </c>
      <c r="D25" s="6">
        <v>36.6</v>
      </c>
    </row>
    <row r="26" spans="2:4" x14ac:dyDescent="0.35">
      <c r="B26" s="4" t="s">
        <v>396</v>
      </c>
      <c r="C26" s="5" t="s">
        <v>378</v>
      </c>
      <c r="D26" s="6">
        <v>4.0199999999999996</v>
      </c>
    </row>
    <row r="27" spans="2:4" x14ac:dyDescent="0.35">
      <c r="B27" s="4" t="s">
        <v>397</v>
      </c>
      <c r="C27" s="5" t="s">
        <v>388</v>
      </c>
      <c r="D27" s="6">
        <v>9.9</v>
      </c>
    </row>
    <row r="28" spans="2:4" x14ac:dyDescent="0.35">
      <c r="B28" s="4" t="s">
        <v>127</v>
      </c>
      <c r="C28" s="5" t="s">
        <v>378</v>
      </c>
      <c r="D28" s="6">
        <v>1.5899999999999999</v>
      </c>
    </row>
    <row r="29" spans="2:4" x14ac:dyDescent="0.35">
      <c r="B29" s="8" t="s">
        <v>398</v>
      </c>
      <c r="C29" s="5" t="s">
        <v>378</v>
      </c>
      <c r="D29" s="6">
        <v>2.82</v>
      </c>
    </row>
    <row r="30" spans="2:4" x14ac:dyDescent="0.35">
      <c r="B30" s="4" t="s">
        <v>399</v>
      </c>
      <c r="C30" s="5" t="s">
        <v>381</v>
      </c>
      <c r="D30" s="6">
        <v>32.299999999999997</v>
      </c>
    </row>
    <row r="31" spans="2:4" x14ac:dyDescent="0.35">
      <c r="B31" s="4" t="s">
        <v>400</v>
      </c>
      <c r="C31" s="5" t="s">
        <v>381</v>
      </c>
      <c r="D31" s="6">
        <v>16.91</v>
      </c>
    </row>
    <row r="32" spans="2:4" x14ac:dyDescent="0.35">
      <c r="B32" s="4" t="s">
        <v>401</v>
      </c>
      <c r="C32" s="5" t="s">
        <v>381</v>
      </c>
      <c r="D32" s="6">
        <v>29.8</v>
      </c>
    </row>
    <row r="33" spans="2:4" x14ac:dyDescent="0.35">
      <c r="B33" s="4" t="s">
        <v>402</v>
      </c>
      <c r="C33" s="5" t="s">
        <v>381</v>
      </c>
      <c r="D33" s="6">
        <v>25.22</v>
      </c>
    </row>
    <row r="34" spans="2:4" x14ac:dyDescent="0.35">
      <c r="B34" s="4" t="s">
        <v>403</v>
      </c>
      <c r="C34" s="5" t="s">
        <v>381</v>
      </c>
      <c r="D34" s="6">
        <v>26.28</v>
      </c>
    </row>
    <row r="35" spans="2:4" x14ac:dyDescent="0.35">
      <c r="B35" s="4" t="s">
        <v>404</v>
      </c>
      <c r="C35" s="5" t="s">
        <v>388</v>
      </c>
      <c r="D35" s="6">
        <v>10.5</v>
      </c>
    </row>
    <row r="36" spans="2:4" x14ac:dyDescent="0.35">
      <c r="B36" s="4" t="s">
        <v>405</v>
      </c>
      <c r="C36" s="5" t="s">
        <v>388</v>
      </c>
      <c r="D36" s="6">
        <v>10.1</v>
      </c>
    </row>
    <row r="37" spans="2:4" x14ac:dyDescent="0.35">
      <c r="B37" s="4" t="s">
        <v>406</v>
      </c>
      <c r="C37" s="5" t="s">
        <v>381</v>
      </c>
      <c r="D37" s="6">
        <v>42.1</v>
      </c>
    </row>
    <row r="38" spans="2:4" x14ac:dyDescent="0.35">
      <c r="B38" s="4" t="s">
        <v>407</v>
      </c>
      <c r="C38" s="5" t="s">
        <v>378</v>
      </c>
      <c r="D38" s="6">
        <v>6.3199999999999994</v>
      </c>
    </row>
    <row r="39" spans="2:4" x14ac:dyDescent="0.35">
      <c r="B39" s="4" t="s">
        <v>408</v>
      </c>
      <c r="C39" s="5" t="s">
        <v>378</v>
      </c>
      <c r="D39" s="6">
        <v>5.3599999999999994</v>
      </c>
    </row>
    <row r="40" spans="2:4" x14ac:dyDescent="0.35">
      <c r="B40" s="4" t="s">
        <v>409</v>
      </c>
      <c r="C40" s="5" t="s">
        <v>378</v>
      </c>
      <c r="D40" s="6">
        <v>3.04</v>
      </c>
    </row>
    <row r="41" spans="2:4" x14ac:dyDescent="0.35">
      <c r="B41" s="4" t="s">
        <v>410</v>
      </c>
      <c r="C41" s="5" t="s">
        <v>381</v>
      </c>
      <c r="D41" s="6">
        <v>36.799999999999997</v>
      </c>
    </row>
    <row r="42" spans="2:4" x14ac:dyDescent="0.35">
      <c r="B42" s="4" t="s">
        <v>411</v>
      </c>
      <c r="C42" s="5" t="s">
        <v>381</v>
      </c>
      <c r="D42" s="6">
        <v>39.53</v>
      </c>
    </row>
    <row r="43" spans="2:4" x14ac:dyDescent="0.35">
      <c r="B43" s="4" t="s">
        <v>412</v>
      </c>
      <c r="C43" s="5" t="s">
        <v>378</v>
      </c>
      <c r="D43" s="6">
        <v>2</v>
      </c>
    </row>
    <row r="44" spans="2:4" x14ac:dyDescent="0.35">
      <c r="B44" s="4" t="s">
        <v>413</v>
      </c>
      <c r="C44" s="5" t="s">
        <v>381</v>
      </c>
      <c r="D44" s="6">
        <v>47.3</v>
      </c>
    </row>
    <row r="45" spans="2:4" x14ac:dyDescent="0.35">
      <c r="B45" s="4" t="s">
        <v>414</v>
      </c>
      <c r="C45" s="5" t="s">
        <v>381</v>
      </c>
      <c r="D45" s="6">
        <v>0</v>
      </c>
    </row>
    <row r="46" spans="2:4" x14ac:dyDescent="0.35">
      <c r="B46" s="4" t="s">
        <v>415</v>
      </c>
      <c r="C46" s="5" t="s">
        <v>378</v>
      </c>
      <c r="D46" s="6">
        <v>0</v>
      </c>
    </row>
    <row r="47" spans="2:4" x14ac:dyDescent="0.35">
      <c r="B47" s="4" t="s">
        <v>416</v>
      </c>
      <c r="C47" s="5" t="s">
        <v>388</v>
      </c>
      <c r="D47" s="6">
        <v>0</v>
      </c>
    </row>
    <row r="48" spans="2:4" x14ac:dyDescent="0.35">
      <c r="B48" s="4" t="s">
        <v>417</v>
      </c>
      <c r="C48" s="5" t="s">
        <v>378</v>
      </c>
      <c r="D48" s="6">
        <v>2.4300000000000002</v>
      </c>
    </row>
    <row r="49" spans="2:4" x14ac:dyDescent="0.35">
      <c r="B49" s="4" t="s">
        <v>418</v>
      </c>
      <c r="C49" s="5" t="s">
        <v>378</v>
      </c>
      <c r="D49" s="6">
        <v>2.27</v>
      </c>
    </row>
    <row r="50" spans="2:4" x14ac:dyDescent="0.35">
      <c r="B50" s="4" t="s">
        <v>419</v>
      </c>
      <c r="C50" s="5" t="s">
        <v>388</v>
      </c>
      <c r="D50" s="6">
        <v>11</v>
      </c>
    </row>
    <row r="51" spans="2:4" x14ac:dyDescent="0.35">
      <c r="B51" s="4" t="s">
        <v>420</v>
      </c>
      <c r="C51" s="5" t="s">
        <v>388</v>
      </c>
      <c r="D51" s="6">
        <v>15.7</v>
      </c>
    </row>
    <row r="52" spans="2:4" x14ac:dyDescent="0.35">
      <c r="B52" s="4" t="s">
        <v>421</v>
      </c>
      <c r="C52" s="5" t="s">
        <v>378</v>
      </c>
      <c r="D52" s="7">
        <v>7.9</v>
      </c>
    </row>
    <row r="53" spans="2:4" x14ac:dyDescent="0.35">
      <c r="B53" s="4" t="s">
        <v>422</v>
      </c>
      <c r="C53" s="5" t="s">
        <v>378</v>
      </c>
      <c r="D53" s="6">
        <v>4.8899999999999997</v>
      </c>
    </row>
    <row r="54" spans="2:4" x14ac:dyDescent="0.35">
      <c r="B54" s="4" t="s">
        <v>423</v>
      </c>
      <c r="C54" s="5" t="s">
        <v>381</v>
      </c>
      <c r="D54" s="6">
        <v>25.299999999999997</v>
      </c>
    </row>
    <row r="55" spans="2:4" x14ac:dyDescent="0.35">
      <c r="B55" s="4" t="s">
        <v>424</v>
      </c>
      <c r="C55" s="5" t="s">
        <v>378</v>
      </c>
      <c r="D55" s="6">
        <v>5.8</v>
      </c>
    </row>
    <row r="56" spans="2:4" x14ac:dyDescent="0.35">
      <c r="B56" s="4" t="s">
        <v>425</v>
      </c>
      <c r="C56" s="5" t="s">
        <v>381</v>
      </c>
      <c r="D56" s="6">
        <v>23</v>
      </c>
    </row>
    <row r="57" spans="2:4" x14ac:dyDescent="0.35">
      <c r="B57" s="4" t="s">
        <v>426</v>
      </c>
      <c r="C57" s="5" t="s">
        <v>388</v>
      </c>
      <c r="D57" s="6">
        <v>13.4</v>
      </c>
    </row>
    <row r="58" spans="2:4" x14ac:dyDescent="0.35">
      <c r="B58" s="4" t="s">
        <v>427</v>
      </c>
      <c r="C58" s="5" t="s">
        <v>381</v>
      </c>
      <c r="D58" s="6">
        <v>19.899999999999999</v>
      </c>
    </row>
    <row r="59" spans="2:4" x14ac:dyDescent="0.35">
      <c r="B59" s="4" t="s">
        <v>428</v>
      </c>
      <c r="C59" s="5" t="s">
        <v>388</v>
      </c>
      <c r="D59" s="7">
        <v>8.58</v>
      </c>
    </row>
    <row r="60" spans="2:4" x14ac:dyDescent="0.35">
      <c r="B60" s="4" t="s">
        <v>429</v>
      </c>
      <c r="C60" s="5" t="s">
        <v>381</v>
      </c>
      <c r="D60" s="6">
        <v>26.28</v>
      </c>
    </row>
    <row r="61" spans="2:4" x14ac:dyDescent="0.35">
      <c r="B61" s="4" t="s">
        <v>430</v>
      </c>
      <c r="C61" s="5" t="s">
        <v>381</v>
      </c>
      <c r="D61" s="6">
        <v>22.8</v>
      </c>
    </row>
    <row r="62" spans="2:4" x14ac:dyDescent="0.35">
      <c r="B62" s="4" t="s">
        <v>431</v>
      </c>
      <c r="C62" s="5" t="s">
        <v>381</v>
      </c>
      <c r="D62" s="6">
        <v>37.299999999999997</v>
      </c>
    </row>
    <row r="63" spans="2:4" x14ac:dyDescent="0.35">
      <c r="B63" s="4" t="s">
        <v>432</v>
      </c>
      <c r="C63" s="5" t="s">
        <v>381</v>
      </c>
      <c r="D63" s="6">
        <v>45.45</v>
      </c>
    </row>
    <row r="64" spans="2:4" x14ac:dyDescent="0.35">
      <c r="B64" s="4" t="s">
        <v>433</v>
      </c>
      <c r="C64" s="5" t="s">
        <v>378</v>
      </c>
      <c r="D64" s="7">
        <v>8</v>
      </c>
    </row>
    <row r="65" spans="2:4" x14ac:dyDescent="0.35">
      <c r="B65" s="4" t="s">
        <v>434</v>
      </c>
      <c r="C65" s="5" t="s">
        <v>378</v>
      </c>
      <c r="D65" s="6">
        <v>2.76</v>
      </c>
    </row>
    <row r="66" spans="2:4" x14ac:dyDescent="0.35">
      <c r="B66" s="4" t="s">
        <v>435</v>
      </c>
      <c r="C66" s="5" t="s">
        <v>388</v>
      </c>
      <c r="D66" s="6">
        <v>11.06</v>
      </c>
    </row>
    <row r="67" spans="2:4" x14ac:dyDescent="0.35">
      <c r="B67" s="4" t="s">
        <v>436</v>
      </c>
      <c r="C67" s="5" t="s">
        <v>378</v>
      </c>
      <c r="D67" s="6">
        <v>2.2400000000000002</v>
      </c>
    </row>
    <row r="68" spans="2:4" x14ac:dyDescent="0.35">
      <c r="B68" s="4" t="s">
        <v>437</v>
      </c>
      <c r="C68" s="5" t="s">
        <v>378</v>
      </c>
      <c r="D68" s="6">
        <v>6.6</v>
      </c>
    </row>
    <row r="69" spans="2:4" x14ac:dyDescent="0.35">
      <c r="B69" s="4" t="s">
        <v>438</v>
      </c>
      <c r="C69" s="5" t="s">
        <v>381</v>
      </c>
      <c r="D69" s="6">
        <v>28.5</v>
      </c>
    </row>
    <row r="70" spans="2:4" x14ac:dyDescent="0.35">
      <c r="B70" s="4" t="s">
        <v>439</v>
      </c>
      <c r="C70" s="5" t="s">
        <v>378</v>
      </c>
      <c r="D70" s="6">
        <v>3.25</v>
      </c>
    </row>
    <row r="71" spans="2:4" x14ac:dyDescent="0.35">
      <c r="B71" s="4" t="s">
        <v>440</v>
      </c>
      <c r="C71" s="5" t="s">
        <v>378</v>
      </c>
      <c r="D71" s="6">
        <v>5</v>
      </c>
    </row>
    <row r="72" spans="2:4" x14ac:dyDescent="0.35">
      <c r="B72" s="4" t="s">
        <v>441</v>
      </c>
      <c r="C72" s="5" t="s">
        <v>381</v>
      </c>
      <c r="D72" s="6">
        <v>28.5</v>
      </c>
    </row>
    <row r="73" spans="2:4" x14ac:dyDescent="0.35">
      <c r="B73" s="4" t="s">
        <v>442</v>
      </c>
      <c r="C73" s="5" t="s">
        <v>381</v>
      </c>
      <c r="D73" s="6">
        <v>31.21</v>
      </c>
    </row>
    <row r="74" spans="2:4" x14ac:dyDescent="0.35">
      <c r="B74" s="4" t="s">
        <v>128</v>
      </c>
      <c r="C74" s="5" t="s">
        <v>381</v>
      </c>
      <c r="D74" s="6">
        <v>31.21</v>
      </c>
    </row>
    <row r="75" spans="2:4" x14ac:dyDescent="0.35">
      <c r="B75" s="4" t="s">
        <v>443</v>
      </c>
      <c r="C75" s="5" t="s">
        <v>378</v>
      </c>
      <c r="D75" s="6">
        <v>1.69</v>
      </c>
    </row>
    <row r="76" spans="2:4" x14ac:dyDescent="0.35">
      <c r="B76" s="4" t="s">
        <v>444</v>
      </c>
      <c r="C76" s="5" t="s">
        <v>381</v>
      </c>
      <c r="D76" s="6">
        <v>30.76</v>
      </c>
    </row>
    <row r="77" spans="2:4" x14ac:dyDescent="0.35">
      <c r="B77" s="4" t="s">
        <v>445</v>
      </c>
      <c r="C77" s="5" t="s">
        <v>378</v>
      </c>
      <c r="D77" s="6">
        <v>2</v>
      </c>
    </row>
    <row r="79" spans="2:4" x14ac:dyDescent="0.35">
      <c r="B79" s="73" t="s">
        <v>446</v>
      </c>
      <c r="C79" s="74" t="s">
        <v>447</v>
      </c>
    </row>
    <row r="80" spans="2:4" x14ac:dyDescent="0.35">
      <c r="B80" s="73" t="s">
        <v>448</v>
      </c>
      <c r="C80" s="75">
        <v>45239</v>
      </c>
    </row>
  </sheetData>
  <autoFilter ref="B2:D2" xr:uid="{00000000-0009-0000-0000-000007000000}">
    <sortState xmlns:xlrd2="http://schemas.microsoft.com/office/spreadsheetml/2017/richdata2" ref="B3:D77">
      <sortCondition ref="B2"/>
    </sortState>
  </autoFilter>
  <conditionalFormatting sqref="C3:C77">
    <cfRule type="cellIs" dxfId="6" priority="1" operator="equal">
      <formula>"Medium Cost"</formula>
    </cfRule>
    <cfRule type="cellIs" dxfId="5" priority="2" operator="equal">
      <formula>"High Cost"</formula>
    </cfRule>
    <cfRule type="cellIs" dxfId="4" priority="3" operator="equal">
      <formula>"Low Cost"</formula>
    </cfRule>
    <cfRule type="containsBlanks" dxfId="3" priority="4">
      <formula>LEN(TRIM(C3))=0</formula>
    </cfRule>
  </conditionalFormatting>
  <conditionalFormatting sqref="C3:D77">
    <cfRule type="cellIs" dxfId="2" priority="5" operator="equal">
      <formula>"MCC"</formula>
    </cfRule>
    <cfRule type="cellIs" dxfId="1" priority="6" operator="equal">
      <formula>"LCC"</formula>
    </cfRule>
    <cfRule type="cellIs" dxfId="0" priority="7" operator="equal">
      <formula>"HCC"</formula>
    </cfRule>
  </conditionalFormatting>
  <dataValidations count="1">
    <dataValidation type="list" allowBlank="1" showInputMessage="1" showErrorMessage="1" sqref="C3:C77" xr:uid="{00000000-0002-0000-0700-000000000000}">
      <formula1>"Low Cost, Medium Cost, High Cost"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B2:D33"/>
  <sheetViews>
    <sheetView showGridLines="0" workbookViewId="0">
      <pane ySplit="2" topLeftCell="A3" activePane="bottomLeft" state="frozen"/>
      <selection pane="bottomLeft" activeCell="B37" sqref="B37"/>
    </sheetView>
  </sheetViews>
  <sheetFormatPr defaultColWidth="11.453125" defaultRowHeight="13" x14ac:dyDescent="0.35"/>
  <cols>
    <col min="1" max="1" width="3" style="10" customWidth="1"/>
    <col min="2" max="2" width="23.81640625" style="10" customWidth="1"/>
    <col min="3" max="3" width="12" style="10" customWidth="1"/>
    <col min="4" max="4" width="23.81640625" style="10" customWidth="1"/>
    <col min="5" max="5" width="11.453125" style="10"/>
    <col min="6" max="6" width="16.453125" style="10" customWidth="1"/>
    <col min="7" max="16384" width="11.453125" style="10"/>
  </cols>
  <sheetData>
    <row r="2" spans="2:4" ht="27" customHeight="1" x14ac:dyDescent="0.35">
      <c r="B2" s="9" t="s">
        <v>92</v>
      </c>
      <c r="C2" s="9" t="s">
        <v>230</v>
      </c>
      <c r="D2" s="9" t="s">
        <v>449</v>
      </c>
    </row>
    <row r="3" spans="2:4" ht="16.5" customHeight="1" x14ac:dyDescent="0.35">
      <c r="B3" s="11" t="s">
        <v>239</v>
      </c>
      <c r="C3" s="12" t="s">
        <v>146</v>
      </c>
      <c r="D3" s="13">
        <v>0.13</v>
      </c>
    </row>
    <row r="4" spans="2:4" ht="16.5" customHeight="1" x14ac:dyDescent="0.35">
      <c r="B4" s="11" t="s">
        <v>450</v>
      </c>
      <c r="C4" s="12" t="s">
        <v>286</v>
      </c>
      <c r="D4" s="13">
        <v>0.115</v>
      </c>
    </row>
    <row r="5" spans="2:4" ht="16.5" customHeight="1" x14ac:dyDescent="0.35">
      <c r="B5" s="11" t="s">
        <v>451</v>
      </c>
      <c r="C5" s="12" t="s">
        <v>147</v>
      </c>
      <c r="D5" s="13">
        <v>0.12</v>
      </c>
    </row>
    <row r="6" spans="2:4" ht="16.5" customHeight="1" x14ac:dyDescent="0.35">
      <c r="B6" s="11" t="s">
        <v>452</v>
      </c>
      <c r="C6" s="12" t="s">
        <v>280</v>
      </c>
      <c r="D6" s="13">
        <v>0.105</v>
      </c>
    </row>
    <row r="7" spans="2:4" ht="16.5" customHeight="1" x14ac:dyDescent="0.35">
      <c r="B7" s="11" t="s">
        <v>453</v>
      </c>
      <c r="C7" s="12" t="s">
        <v>292</v>
      </c>
      <c r="D7" s="13">
        <v>0.12</v>
      </c>
    </row>
    <row r="8" spans="2:4" ht="16.5" customHeight="1" x14ac:dyDescent="0.35">
      <c r="B8" s="11" t="s">
        <v>454</v>
      </c>
      <c r="C8" s="12" t="s">
        <v>144</v>
      </c>
      <c r="D8" s="13">
        <v>0.11</v>
      </c>
    </row>
    <row r="9" spans="2:4" ht="16.5" customHeight="1" x14ac:dyDescent="0.35">
      <c r="B9" s="11" t="s">
        <v>455</v>
      </c>
      <c r="C9" s="12" t="s">
        <v>144</v>
      </c>
      <c r="D9" s="13">
        <v>0.11</v>
      </c>
    </row>
    <row r="10" spans="2:4" ht="16.5" customHeight="1" x14ac:dyDescent="0.35">
      <c r="B10" s="11" t="s">
        <v>456</v>
      </c>
      <c r="C10" s="12" t="s">
        <v>147</v>
      </c>
      <c r="D10" s="13">
        <v>0.125</v>
      </c>
    </row>
    <row r="11" spans="2:4" ht="16.5" customHeight="1" x14ac:dyDescent="0.35">
      <c r="B11" s="11" t="s">
        <v>457</v>
      </c>
      <c r="C11" s="12" t="s">
        <v>288</v>
      </c>
      <c r="D11" s="13">
        <v>0.2</v>
      </c>
    </row>
    <row r="12" spans="2:4" ht="16.5" customHeight="1" x14ac:dyDescent="0.35">
      <c r="B12" s="11" t="s">
        <v>458</v>
      </c>
      <c r="C12" s="12" t="s">
        <v>316</v>
      </c>
      <c r="D12" s="13">
        <v>0.105</v>
      </c>
    </row>
    <row r="13" spans="2:4" ht="16.5" customHeight="1" x14ac:dyDescent="0.35">
      <c r="B13" s="11" t="s">
        <v>459</v>
      </c>
      <c r="C13" s="12" t="s">
        <v>300</v>
      </c>
      <c r="D13" s="13">
        <v>0.11</v>
      </c>
    </row>
    <row r="14" spans="2:4" ht="16.5" customHeight="1" x14ac:dyDescent="0.35">
      <c r="B14" s="11" t="s">
        <v>460</v>
      </c>
      <c r="C14" s="12" t="s">
        <v>282</v>
      </c>
      <c r="D14" s="13">
        <v>0.1</v>
      </c>
    </row>
    <row r="15" spans="2:4" ht="16.5" customHeight="1" x14ac:dyDescent="0.35">
      <c r="B15" s="11" t="s">
        <v>461</v>
      </c>
      <c r="C15" s="12" t="s">
        <v>310</v>
      </c>
      <c r="D15" s="13">
        <v>0.17499999999999999</v>
      </c>
    </row>
    <row r="16" spans="2:4" ht="16.5" customHeight="1" x14ac:dyDescent="0.35">
      <c r="B16" s="11" t="s">
        <v>462</v>
      </c>
      <c r="C16" s="12" t="s">
        <v>284</v>
      </c>
      <c r="D16" s="13">
        <v>0.46</v>
      </c>
    </row>
    <row r="17" spans="2:4" ht="16.5" customHeight="1" x14ac:dyDescent="0.35">
      <c r="B17" s="11" t="s">
        <v>463</v>
      </c>
      <c r="C17" s="12" t="s">
        <v>144</v>
      </c>
      <c r="D17" s="13">
        <v>0.12</v>
      </c>
    </row>
    <row r="18" spans="2:4" ht="16.5" customHeight="1" x14ac:dyDescent="0.35">
      <c r="B18" s="11" t="s">
        <v>464</v>
      </c>
      <c r="C18" s="12" t="s">
        <v>147</v>
      </c>
      <c r="D18" s="13">
        <v>0.125</v>
      </c>
    </row>
    <row r="19" spans="2:4" ht="16.5" customHeight="1" x14ac:dyDescent="0.35">
      <c r="B19" s="11" t="s">
        <v>465</v>
      </c>
      <c r="C19" s="12" t="s">
        <v>302</v>
      </c>
      <c r="D19" s="13">
        <v>0.15</v>
      </c>
    </row>
    <row r="20" spans="2:4" ht="16.5" customHeight="1" x14ac:dyDescent="0.35">
      <c r="B20" s="11" t="s">
        <v>466</v>
      </c>
      <c r="C20" s="12" t="s">
        <v>144</v>
      </c>
      <c r="D20" s="13">
        <v>0.1225</v>
      </c>
    </row>
    <row r="21" spans="2:4" ht="16.5" customHeight="1" x14ac:dyDescent="0.35">
      <c r="B21" s="11" t="s">
        <v>467</v>
      </c>
      <c r="C21" s="12" t="s">
        <v>468</v>
      </c>
      <c r="D21" s="13">
        <v>0.3</v>
      </c>
    </row>
    <row r="22" spans="2:4" ht="16.5" customHeight="1" x14ac:dyDescent="0.35">
      <c r="B22" s="11" t="s">
        <v>469</v>
      </c>
      <c r="C22" s="12" t="s">
        <v>144</v>
      </c>
      <c r="D22" s="13">
        <v>0.115</v>
      </c>
    </row>
    <row r="23" spans="2:4" ht="16.5" customHeight="1" x14ac:dyDescent="0.35">
      <c r="B23" s="11" t="s">
        <v>470</v>
      </c>
      <c r="C23" s="12" t="s">
        <v>314</v>
      </c>
      <c r="D23" s="13">
        <v>0.155</v>
      </c>
    </row>
    <row r="24" spans="2:4" ht="16.5" customHeight="1" x14ac:dyDescent="0.35">
      <c r="B24" s="11" t="s">
        <v>471</v>
      </c>
      <c r="C24" s="12" t="s">
        <v>144</v>
      </c>
      <c r="D24" s="13">
        <v>0.115</v>
      </c>
    </row>
    <row r="25" spans="2:4" ht="16.5" customHeight="1" x14ac:dyDescent="0.35">
      <c r="B25" s="11" t="s">
        <v>472</v>
      </c>
      <c r="C25" s="12" t="s">
        <v>473</v>
      </c>
      <c r="D25" s="13">
        <v>0.1152</v>
      </c>
    </row>
    <row r="26" spans="2:4" ht="16.5" customHeight="1" x14ac:dyDescent="0.35">
      <c r="B26" s="11" t="s">
        <v>474</v>
      </c>
      <c r="C26" s="12" t="s">
        <v>144</v>
      </c>
      <c r="D26" s="13">
        <v>0.125</v>
      </c>
    </row>
    <row r="27" spans="2:4" ht="16.5" customHeight="1" x14ac:dyDescent="0.35">
      <c r="B27" s="11" t="s">
        <v>475</v>
      </c>
      <c r="C27" s="12" t="s">
        <v>476</v>
      </c>
      <c r="D27" s="13">
        <v>0.125</v>
      </c>
    </row>
    <row r="28" spans="2:4" ht="16.5" customHeight="1" x14ac:dyDescent="0.35">
      <c r="B28" s="11" t="s">
        <v>477</v>
      </c>
      <c r="C28" s="12" t="s">
        <v>144</v>
      </c>
      <c r="D28" s="13">
        <v>0.125</v>
      </c>
    </row>
    <row r="29" spans="2:4" ht="16.5" customHeight="1" x14ac:dyDescent="0.35">
      <c r="B29" s="11" t="s">
        <v>478</v>
      </c>
      <c r="C29" s="12" t="s">
        <v>320</v>
      </c>
      <c r="D29" s="13">
        <v>0.125</v>
      </c>
    </row>
    <row r="30" spans="2:4" ht="16.5" customHeight="1" x14ac:dyDescent="0.35">
      <c r="B30" s="11" t="s">
        <v>479</v>
      </c>
      <c r="C30" s="12" t="s">
        <v>144</v>
      </c>
      <c r="D30" s="13">
        <v>0.125</v>
      </c>
    </row>
    <row r="31" spans="2:4" ht="16.5" customHeight="1" x14ac:dyDescent="0.35">
      <c r="B31" s="11" t="s">
        <v>480</v>
      </c>
      <c r="C31" s="12" t="s">
        <v>322</v>
      </c>
      <c r="D31" s="13">
        <v>0.125</v>
      </c>
    </row>
    <row r="33" spans="2:3" x14ac:dyDescent="0.35">
      <c r="B33" s="73" t="s">
        <v>448</v>
      </c>
      <c r="C33" s="75">
        <v>45684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</vt:i4>
      </vt:variant>
    </vt:vector>
  </HeadingPairs>
  <TitlesOfParts>
    <vt:vector size="20" baseType="lpstr">
      <vt:lpstr>calc</vt:lpstr>
      <vt:lpstr>1. MPBC</vt:lpstr>
      <vt:lpstr>3. BER - Bid exception report</vt:lpstr>
      <vt:lpstr>5. WCI calculation</vt:lpstr>
      <vt:lpstr>6. exchange_rates</vt:lpstr>
      <vt:lpstr>Supp 1 risk</vt:lpstr>
      <vt:lpstr>Supp 2 risk</vt:lpstr>
      <vt:lpstr>Supp 3 risk</vt:lpstr>
      <vt:lpstr>Supp 4 risk</vt:lpstr>
      <vt:lpstr>Supp 5 risk</vt:lpstr>
      <vt:lpstr>Supp 6 risk</vt:lpstr>
      <vt:lpstr>Supp 7 risk</vt:lpstr>
      <vt:lpstr>Supp 8 risk</vt:lpstr>
      <vt:lpstr>Supp 9 risk</vt:lpstr>
      <vt:lpstr>Supp 10 risk</vt:lpstr>
      <vt:lpstr>country_class</vt:lpstr>
      <vt:lpstr>WACC</vt:lpstr>
      <vt:lpstr>'1. MPBC'!Print_Area</vt:lpstr>
      <vt:lpstr>'3. BER - Bid exception report'!Print_Area</vt:lpstr>
      <vt:lpstr>'5. WCI calculation'!Print_Area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Mueller, Felix (SMP)</dc:creator>
  <cp:keywords/>
  <dc:description/>
  <cp:lastModifiedBy>Kumar, Gattupally Praveen (MTC)</cp:lastModifiedBy>
  <cp:revision/>
  <cp:lastPrinted>2025-10-17T12:46:10Z</cp:lastPrinted>
  <dcterms:created xsi:type="dcterms:W3CDTF">2015-06-05T18:19:34Z</dcterms:created>
  <dcterms:modified xsi:type="dcterms:W3CDTF">2026-04-16T10:43:12Z</dcterms:modified>
  <cp:category/>
  <cp:contentStatus/>
</cp:coreProperties>
</file>